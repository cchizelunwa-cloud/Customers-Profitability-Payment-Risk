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corecard" sheetId="2" state="visible" r:id="rId4"/>
    <sheet name="Assumptions" sheetId="3" state="visible" r:id="rId5"/>
  </sheets>
  <definedNames>
    <definedName function="false" hidden="true" localSheetId="1" name="_xlnm._FilterDatabase" vbProcedure="false">Scorecard!$A$1:$V$151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<sst xmlns="http://schemas.openxmlformats.org/spreadsheetml/2006/main" count="674" uniqueCount="375">
  <si>
    <t xml:space="preserve">Customer Profitability &amp; Payment Risk Scorecard</t>
  </si>
  <si>
    <t xml:space="preserve">Simulated data (₦) | Reporting date: 30 Sep 2026 | Built with SQL Server and Excel</t>
  </si>
  <si>
    <t xml:space="preserve">Key figures</t>
  </si>
  <si>
    <t xml:space="preserve">Customers</t>
  </si>
  <si>
    <t xml:space="preserve">Net revenue (₦)</t>
  </si>
  <si>
    <t xml:space="preserve">Total profit (₦)</t>
  </si>
  <si>
    <t xml:space="preserve">Overall profit margin (%)</t>
  </si>
  <si>
    <t xml:space="preserve">Unprofitable customers</t>
  </si>
  <si>
    <t xml:space="preserve">Total outstanding (₦)</t>
  </si>
  <si>
    <t xml:space="preserve">Total overdue (₦)</t>
  </si>
  <si>
    <t xml:space="preserve">High-risk customers</t>
  </si>
  <si>
    <t xml:space="preserve">Net revenue from High-risk customers (₦)</t>
  </si>
  <si>
    <t xml:space="preserve">Top 20% customers: share of revenue (%)</t>
  </si>
  <si>
    <t xml:space="preserve">Top 20% customers: share of profit (%)</t>
  </si>
  <si>
    <t xml:space="preserve">Segment</t>
  </si>
  <si>
    <t xml:space="preserve">Low</t>
  </si>
  <si>
    <t xml:space="preserve">Medium</t>
  </si>
  <si>
    <t xml:space="preserve">High</t>
  </si>
  <si>
    <t xml:space="preserve">Total</t>
  </si>
  <si>
    <t xml:space="preserve">Corporate</t>
  </si>
  <si>
    <t xml:space="preserve">SME</t>
  </si>
  <si>
    <t xml:space="preserve">Retail</t>
  </si>
  <si>
    <t xml:space="preserve">Top 10 customers by revenue: revenue vs profit</t>
  </si>
  <si>
    <t xml:space="preserve">Customer</t>
  </si>
  <si>
    <t xml:space="preserve">Net Revenue (₦)</t>
  </si>
  <si>
    <t xml:space="preserve">Profit (₦)</t>
  </si>
  <si>
    <t xml:space="preserve">Margin (%)</t>
  </si>
  <si>
    <t xml:space="preserve">Risk</t>
  </si>
  <si>
    <t xml:space="preserve">Customer ID</t>
  </si>
  <si>
    <t xml:space="preserve">City</t>
  </si>
  <si>
    <t xml:space="preserve">Credit Terms (days)</t>
  </si>
  <si>
    <t xml:space="preserve">Invoices</t>
  </si>
  <si>
    <t xml:space="preserve">Gross Revenue (₦)</t>
  </si>
  <si>
    <t xml:space="preserve">Discounts (₦)</t>
  </si>
  <si>
    <t xml:space="preserve">Returns (₦)</t>
  </si>
  <si>
    <t xml:space="preserve">Profit Margin (%)</t>
  </si>
  <si>
    <t xml:space="preserve">Outstanding (₦)</t>
  </si>
  <si>
    <t xml:space="preserve">Overdue (₦)</t>
  </si>
  <si>
    <t xml:space="preserve">Avg Days Late</t>
  </si>
  <si>
    <t xml:space="preserve">Discount (% of gross)</t>
  </si>
  <si>
    <t xml:space="preserve">Overdue (% of net)</t>
  </si>
  <si>
    <t xml:space="preserve">Margin Pts</t>
  </si>
  <si>
    <t xml:space="preserve">Late Pts</t>
  </si>
  <si>
    <t xml:space="preserve">Overdue Pts</t>
  </si>
  <si>
    <t xml:space="preserve">Risk Score</t>
  </si>
  <si>
    <t xml:space="preserve">Risk Rating</t>
  </si>
  <si>
    <t xml:space="preserve">C1015</t>
  </si>
  <si>
    <t xml:space="preserve">Obi Ventures Enterprises</t>
  </si>
  <si>
    <t xml:space="preserve">Unknown</t>
  </si>
  <si>
    <t xml:space="preserve">C1038</t>
  </si>
  <si>
    <t xml:space="preserve">Halima Trading Ltd</t>
  </si>
  <si>
    <t xml:space="preserve">Abuja</t>
  </si>
  <si>
    <t xml:space="preserve">C1064</t>
  </si>
  <si>
    <t xml:space="preserve">Bisi Electricals Ltd</t>
  </si>
  <si>
    <t xml:space="preserve">Lagos</t>
  </si>
  <si>
    <t xml:space="preserve">C1100</t>
  </si>
  <si>
    <t xml:space="preserve">Emeka Energy Enterprises</t>
  </si>
  <si>
    <t xml:space="preserve">Kano</t>
  </si>
  <si>
    <t xml:space="preserve">C1092</t>
  </si>
  <si>
    <t xml:space="preserve">Obi Logistics Nig Ltd</t>
  </si>
  <si>
    <t xml:space="preserve">C1107</t>
  </si>
  <si>
    <t xml:space="preserve">Ngozi Stores &amp; Sons</t>
  </si>
  <si>
    <t xml:space="preserve">C1077</t>
  </si>
  <si>
    <t xml:space="preserve">Chinedu Fashion Enterprises</t>
  </si>
  <si>
    <t xml:space="preserve">C1031</t>
  </si>
  <si>
    <t xml:space="preserve">Tola Electricals &amp; Sons</t>
  </si>
  <si>
    <t xml:space="preserve">C1097</t>
  </si>
  <si>
    <t xml:space="preserve">Zainab Fashion &amp; Sons</t>
  </si>
  <si>
    <t xml:space="preserve">C1133</t>
  </si>
  <si>
    <t xml:space="preserve">Funke Agro Enterprises</t>
  </si>
  <si>
    <t xml:space="preserve">C1011</t>
  </si>
  <si>
    <t xml:space="preserve">Halima Fashion Ltd</t>
  </si>
  <si>
    <t xml:space="preserve">C1089</t>
  </si>
  <si>
    <t xml:space="preserve">Ngozi Pharma &amp; Sons</t>
  </si>
  <si>
    <t xml:space="preserve">C1074</t>
  </si>
  <si>
    <t xml:space="preserve">Sade Stores Enterprises</t>
  </si>
  <si>
    <t xml:space="preserve">C1035</t>
  </si>
  <si>
    <t xml:space="preserve">Tola Tech Nig Ltd</t>
  </si>
  <si>
    <t xml:space="preserve">C1137</t>
  </si>
  <si>
    <t xml:space="preserve">Funke Stores &amp; Sons</t>
  </si>
  <si>
    <t xml:space="preserve">C1010</t>
  </si>
  <si>
    <t xml:space="preserve">Ngozi Stores Nig Ltd</t>
  </si>
  <si>
    <t xml:space="preserve">C1065</t>
  </si>
  <si>
    <t xml:space="preserve">Chinedu Logistics Enterprises</t>
  </si>
  <si>
    <t xml:space="preserve">C1090</t>
  </si>
  <si>
    <t xml:space="preserve">Halima Foods &amp; Sons</t>
  </si>
  <si>
    <t xml:space="preserve">Port Harcourt</t>
  </si>
  <si>
    <t xml:space="preserve">C1132</t>
  </si>
  <si>
    <t xml:space="preserve">Sade Logistics Enterprises</t>
  </si>
  <si>
    <t xml:space="preserve">C1096</t>
  </si>
  <si>
    <t xml:space="preserve">Funke Motors Ltd</t>
  </si>
  <si>
    <t xml:space="preserve">C1046</t>
  </si>
  <si>
    <t xml:space="preserve">Funke Tech Nig Ltd</t>
  </si>
  <si>
    <t xml:space="preserve">Ibadan</t>
  </si>
  <si>
    <t xml:space="preserve">C1088</t>
  </si>
  <si>
    <t xml:space="preserve">Zainab Textiles Enterprises</t>
  </si>
  <si>
    <t xml:space="preserve">C1068</t>
  </si>
  <si>
    <t xml:space="preserve">Chinedu Fashion Ltd</t>
  </si>
  <si>
    <t xml:space="preserve">C1006</t>
  </si>
  <si>
    <t xml:space="preserve">Uche Electricals Ltd</t>
  </si>
  <si>
    <t xml:space="preserve">C1002</t>
  </si>
  <si>
    <t xml:space="preserve">Musa Tech &amp; Sons</t>
  </si>
  <si>
    <t xml:space="preserve">C1014</t>
  </si>
  <si>
    <t xml:space="preserve">Segun Energy Ltd</t>
  </si>
  <si>
    <t xml:space="preserve">C1050</t>
  </si>
  <si>
    <t xml:space="preserve">Emeka Tech Enterprises</t>
  </si>
  <si>
    <t xml:space="preserve">C1127</t>
  </si>
  <si>
    <t xml:space="preserve">Halima Energy Nig Ltd</t>
  </si>
  <si>
    <t xml:space="preserve">C1106</t>
  </si>
  <si>
    <t xml:space="preserve">Tola Pharma &amp; Sons</t>
  </si>
  <si>
    <t xml:space="preserve">C1112</t>
  </si>
  <si>
    <t xml:space="preserve">Tola Energy Nig Ltd</t>
  </si>
  <si>
    <t xml:space="preserve">C1032</t>
  </si>
  <si>
    <t xml:space="preserve">Uche Fashion Nig Ltd</t>
  </si>
  <si>
    <t xml:space="preserve">C1053</t>
  </si>
  <si>
    <t xml:space="preserve">Tola Textiles Ltd</t>
  </si>
  <si>
    <t xml:space="preserve">C1144</t>
  </si>
  <si>
    <t xml:space="preserve">Musa Textiles Ltd</t>
  </si>
  <si>
    <t xml:space="preserve">C1087</t>
  </si>
  <si>
    <t xml:space="preserve">Ngozi Ventures Enterprises</t>
  </si>
  <si>
    <t xml:space="preserve">C1045</t>
  </si>
  <si>
    <t xml:space="preserve">Emeka Ventures Ltd</t>
  </si>
  <si>
    <t xml:space="preserve">C1075</t>
  </si>
  <si>
    <t xml:space="preserve">Segun Logistics &amp; Sons</t>
  </si>
  <si>
    <t xml:space="preserve">C1005</t>
  </si>
  <si>
    <t xml:space="preserve">Bisi Ventures Ltd</t>
  </si>
  <si>
    <t xml:space="preserve">C1119</t>
  </si>
  <si>
    <t xml:space="preserve">Ade Electricals Enterprises</t>
  </si>
  <si>
    <t xml:space="preserve">C1055</t>
  </si>
  <si>
    <t xml:space="preserve">Amaka Hardware &amp; Sons</t>
  </si>
  <si>
    <t xml:space="preserve">C1070</t>
  </si>
  <si>
    <t xml:space="preserve">Funke Trading &amp; Sons</t>
  </si>
  <si>
    <t xml:space="preserve">C1140</t>
  </si>
  <si>
    <t xml:space="preserve">Tola Fashion &amp; Sons</t>
  </si>
  <si>
    <t xml:space="preserve">C1012</t>
  </si>
  <si>
    <t xml:space="preserve">Ifeoma Supplies &amp; Sons</t>
  </si>
  <si>
    <t xml:space="preserve">C1027</t>
  </si>
  <si>
    <t xml:space="preserve">Zainab Foods Enterprises</t>
  </si>
  <si>
    <t xml:space="preserve">C1130</t>
  </si>
  <si>
    <t xml:space="preserve">Ade Ventures Ltd</t>
  </si>
  <si>
    <t xml:space="preserve">C1108</t>
  </si>
  <si>
    <t xml:space="preserve">Uche Energy Ltd</t>
  </si>
  <si>
    <t xml:space="preserve">C1086</t>
  </si>
  <si>
    <t xml:space="preserve">Kunle Hardware Enterprises</t>
  </si>
  <si>
    <t xml:space="preserve">C1082</t>
  </si>
  <si>
    <t xml:space="preserve">Ifeoma Hardware &amp; Sons</t>
  </si>
  <si>
    <t xml:space="preserve">C1073</t>
  </si>
  <si>
    <t xml:space="preserve">Obi Supplies &amp; Sons</t>
  </si>
  <si>
    <t xml:space="preserve">C1054</t>
  </si>
  <si>
    <t xml:space="preserve">Segun Foods &amp; Sons</t>
  </si>
  <si>
    <t xml:space="preserve">C1020</t>
  </si>
  <si>
    <t xml:space="preserve">Chinedu Motors &amp; Sons</t>
  </si>
  <si>
    <t xml:space="preserve">C1060</t>
  </si>
  <si>
    <t xml:space="preserve">Ifeoma Electricals Ltd</t>
  </si>
  <si>
    <t xml:space="preserve">C1033</t>
  </si>
  <si>
    <t xml:space="preserve">Funke Motors Nig Ltd</t>
  </si>
  <si>
    <t xml:space="preserve">C1131</t>
  </si>
  <si>
    <t xml:space="preserve">Nneka Stores Ltd</t>
  </si>
  <si>
    <t xml:space="preserve">C1022</t>
  </si>
  <si>
    <t xml:space="preserve">Uche Ventures Nig Ltd</t>
  </si>
  <si>
    <t xml:space="preserve">C1001</t>
  </si>
  <si>
    <t xml:space="preserve">Ifeoma Foods Enterprises</t>
  </si>
  <si>
    <t xml:space="preserve">C1121</t>
  </si>
  <si>
    <t xml:space="preserve">Tunde Energy Ltd</t>
  </si>
  <si>
    <t xml:space="preserve">C1072</t>
  </si>
  <si>
    <t xml:space="preserve">Obi Logistics &amp; Sons</t>
  </si>
  <si>
    <t xml:space="preserve">C1043</t>
  </si>
  <si>
    <t xml:space="preserve">Obi Tech Nig Ltd</t>
  </si>
  <si>
    <t xml:space="preserve">C1102</t>
  </si>
  <si>
    <t xml:space="preserve">Tola Pharma Enterprises</t>
  </si>
  <si>
    <t xml:space="preserve">C1093</t>
  </si>
  <si>
    <t xml:space="preserve">Segun Agro Ltd</t>
  </si>
  <si>
    <t xml:space="preserve">C1048</t>
  </si>
  <si>
    <t xml:space="preserve">Chinedu Pharma Nig Ltd</t>
  </si>
  <si>
    <t xml:space="preserve">C1139</t>
  </si>
  <si>
    <t xml:space="preserve">Tola Pharma Ltd</t>
  </si>
  <si>
    <t xml:space="preserve">C1094</t>
  </si>
  <si>
    <t xml:space="preserve">Ifeoma Motors Ltd</t>
  </si>
  <si>
    <t xml:space="preserve">C1085</t>
  </si>
  <si>
    <t xml:space="preserve">Uche Pharma &amp; Sons</t>
  </si>
  <si>
    <t xml:space="preserve">C1135</t>
  </si>
  <si>
    <t xml:space="preserve">Amaka Textiles &amp; Sons</t>
  </si>
  <si>
    <t xml:space="preserve">C1126</t>
  </si>
  <si>
    <t xml:space="preserve">Halima Hardware &amp; Sons</t>
  </si>
  <si>
    <t xml:space="preserve">C1066</t>
  </si>
  <si>
    <t xml:space="preserve">Halima Textiles Enterprises</t>
  </si>
  <si>
    <t xml:space="preserve">C1116</t>
  </si>
  <si>
    <t xml:space="preserve">Sade Ventures Nig Ltd</t>
  </si>
  <si>
    <t xml:space="preserve">C1129</t>
  </si>
  <si>
    <t xml:space="preserve">Amaka Motors &amp; Sons</t>
  </si>
  <si>
    <t xml:space="preserve">C1104</t>
  </si>
  <si>
    <t xml:space="preserve">Halima Ventures Nig Ltd</t>
  </si>
  <si>
    <t xml:space="preserve">C1049</t>
  </si>
  <si>
    <t xml:space="preserve">Ibrahim Textiles Nig Ltd</t>
  </si>
  <si>
    <t xml:space="preserve">C1120</t>
  </si>
  <si>
    <t xml:space="preserve">Ifeoma Hardware Ltd</t>
  </si>
  <si>
    <t xml:space="preserve">C1099</t>
  </si>
  <si>
    <t xml:space="preserve">Musa Trading Ltd</t>
  </si>
  <si>
    <t xml:space="preserve">C1025</t>
  </si>
  <si>
    <t xml:space="preserve">Kunle Ventures &amp; Sons</t>
  </si>
  <si>
    <t xml:space="preserve">C1110</t>
  </si>
  <si>
    <t xml:space="preserve">Sade Fashion Ltd</t>
  </si>
  <si>
    <t xml:space="preserve">C1083</t>
  </si>
  <si>
    <t xml:space="preserve">Kunle Foods &amp; Sons</t>
  </si>
  <si>
    <t xml:space="preserve">C1040</t>
  </si>
  <si>
    <t xml:space="preserve">Musa Motors Ltd</t>
  </si>
  <si>
    <t xml:space="preserve">C1095</t>
  </si>
  <si>
    <t xml:space="preserve">Uche Logistics Enterprises</t>
  </si>
  <si>
    <t xml:space="preserve">C1079</t>
  </si>
  <si>
    <t xml:space="preserve">Tunde Logistics Nig Ltd</t>
  </si>
  <si>
    <t xml:space="preserve">C1136</t>
  </si>
  <si>
    <t xml:space="preserve">Bisi Textiles Ltd</t>
  </si>
  <si>
    <t xml:space="preserve">C1062</t>
  </si>
  <si>
    <t xml:space="preserve">Ngozi Pharma Enterprises</t>
  </si>
  <si>
    <t xml:space="preserve">C1030</t>
  </si>
  <si>
    <t xml:space="preserve">Nneka Motors Nig Ltd</t>
  </si>
  <si>
    <t xml:space="preserve">C1148</t>
  </si>
  <si>
    <t xml:space="preserve">Tola Textiles &amp; Sons</t>
  </si>
  <si>
    <t xml:space="preserve">C1078</t>
  </si>
  <si>
    <t xml:space="preserve">Ngozi Energy Enterprises</t>
  </si>
  <si>
    <t xml:space="preserve">C1052</t>
  </si>
  <si>
    <t xml:space="preserve">Emeka Logistics Ltd</t>
  </si>
  <si>
    <t xml:space="preserve">C1013</t>
  </si>
  <si>
    <t xml:space="preserve">Zainab Pharma Nig Ltd</t>
  </si>
  <si>
    <t xml:space="preserve">C1051</t>
  </si>
  <si>
    <t xml:space="preserve">Amaka Fashion Enterprises</t>
  </si>
  <si>
    <t xml:space="preserve">C1036</t>
  </si>
  <si>
    <t xml:space="preserve">Ngozi Fashion Ltd</t>
  </si>
  <si>
    <t xml:space="preserve">C1063</t>
  </si>
  <si>
    <t xml:space="preserve">Kunle Supplies &amp; Sons</t>
  </si>
  <si>
    <t xml:space="preserve">C1109</t>
  </si>
  <si>
    <t xml:space="preserve">Uche Electricals Enterprises</t>
  </si>
  <si>
    <t xml:space="preserve">C1145</t>
  </si>
  <si>
    <t xml:space="preserve">Halima Trading &amp; Sons</t>
  </si>
  <si>
    <t xml:space="preserve">C1128</t>
  </si>
  <si>
    <t xml:space="preserve">Ifeoma Electricals Nig Ltd</t>
  </si>
  <si>
    <t xml:space="preserve">C1008</t>
  </si>
  <si>
    <t xml:space="preserve">Tola Electricals Nig Ltd</t>
  </si>
  <si>
    <t xml:space="preserve">C1000</t>
  </si>
  <si>
    <t xml:space="preserve">Funke Supplies Nig Ltd</t>
  </si>
  <si>
    <t xml:space="preserve">C1019</t>
  </si>
  <si>
    <t xml:space="preserve">Musa Supplies Nig Ltd</t>
  </si>
  <si>
    <t xml:space="preserve">C1021</t>
  </si>
  <si>
    <t xml:space="preserve">Segun Stores Nig Ltd</t>
  </si>
  <si>
    <t xml:space="preserve">C1037</t>
  </si>
  <si>
    <t xml:space="preserve">Obi Trading Nig Ltd</t>
  </si>
  <si>
    <t xml:space="preserve">C1056</t>
  </si>
  <si>
    <t xml:space="preserve">Amaka Foods Enterprises</t>
  </si>
  <si>
    <t xml:space="preserve">C1115</t>
  </si>
  <si>
    <t xml:space="preserve">Sade Stores Ltd</t>
  </si>
  <si>
    <t xml:space="preserve">C1081</t>
  </si>
  <si>
    <t xml:space="preserve">Funke Supplies Ltd</t>
  </si>
  <si>
    <t xml:space="preserve">C1004</t>
  </si>
  <si>
    <t xml:space="preserve">Emeka Supplies Ltd</t>
  </si>
  <si>
    <t xml:space="preserve">C1124</t>
  </si>
  <si>
    <t xml:space="preserve">Amaka Logistics Nig Ltd</t>
  </si>
  <si>
    <t xml:space="preserve">C1076</t>
  </si>
  <si>
    <t xml:space="preserve">Halima Electricals Enterprises</t>
  </si>
  <si>
    <t xml:space="preserve">C1003</t>
  </si>
  <si>
    <t xml:space="preserve">Chinedu Foods Enterprises</t>
  </si>
  <si>
    <t xml:space="preserve">C1122</t>
  </si>
  <si>
    <t xml:space="preserve">Ngozi Logistics &amp; Sons</t>
  </si>
  <si>
    <t xml:space="preserve">C1146</t>
  </si>
  <si>
    <t xml:space="preserve">Amaka Agro &amp; Sons</t>
  </si>
  <si>
    <t xml:space="preserve">C1114</t>
  </si>
  <si>
    <t xml:space="preserve">Sade Agro Ltd</t>
  </si>
  <si>
    <t xml:space="preserve">C1111</t>
  </si>
  <si>
    <t xml:space="preserve">Ade Fashion &amp; Sons</t>
  </si>
  <si>
    <t xml:space="preserve">C1138</t>
  </si>
  <si>
    <t xml:space="preserve">Emeka Logistics Enterprises</t>
  </si>
  <si>
    <t xml:space="preserve">C1009</t>
  </si>
  <si>
    <t xml:space="preserve">Chinedu Hardware &amp; Sons</t>
  </si>
  <si>
    <t xml:space="preserve">C1039</t>
  </si>
  <si>
    <t xml:space="preserve">Segun Motors &amp; Sons</t>
  </si>
  <si>
    <t xml:space="preserve">C1061</t>
  </si>
  <si>
    <t xml:space="preserve">Uche Trading Enterprises</t>
  </si>
  <si>
    <t xml:space="preserve">C1069</t>
  </si>
  <si>
    <t xml:space="preserve">Ngozi Ventures Ltd</t>
  </si>
  <si>
    <t xml:space="preserve">C1047</t>
  </si>
  <si>
    <t xml:space="preserve">Zainab Agro &amp; Sons</t>
  </si>
  <si>
    <t xml:space="preserve">C1024</t>
  </si>
  <si>
    <t xml:space="preserve">Kunle Ventures Ltd</t>
  </si>
  <si>
    <t xml:space="preserve">C1123</t>
  </si>
  <si>
    <t xml:space="preserve">Amaka Logistics &amp; Sons</t>
  </si>
  <si>
    <t xml:space="preserve">C1018</t>
  </si>
  <si>
    <t xml:space="preserve">Amaka Stores &amp; Sons</t>
  </si>
  <si>
    <t xml:space="preserve">C1028</t>
  </si>
  <si>
    <t xml:space="preserve">Ifeoma Hardware Nig Ltd</t>
  </si>
  <si>
    <t xml:space="preserve">C1026</t>
  </si>
  <si>
    <t xml:space="preserve">Emeka Ventures Nig Ltd</t>
  </si>
  <si>
    <t xml:space="preserve">C1016</t>
  </si>
  <si>
    <t xml:space="preserve">Zainab Logistics &amp; Sons</t>
  </si>
  <si>
    <t xml:space="preserve">C1084</t>
  </si>
  <si>
    <t xml:space="preserve">Nneka Motors &amp; Sons</t>
  </si>
  <si>
    <t xml:space="preserve">C1142</t>
  </si>
  <si>
    <t xml:space="preserve">Bisi Fashion &amp; Sons</t>
  </si>
  <si>
    <t xml:space="preserve">C1059</t>
  </si>
  <si>
    <t xml:space="preserve">Kunle Hardware &amp; Sons</t>
  </si>
  <si>
    <t xml:space="preserve">C1101</t>
  </si>
  <si>
    <t xml:space="preserve">Obi Pharma &amp; Sons</t>
  </si>
  <si>
    <t xml:space="preserve">C1041</t>
  </si>
  <si>
    <t xml:space="preserve">Ifeoma Pharma Nig Ltd</t>
  </si>
  <si>
    <t xml:space="preserve">C1103</t>
  </si>
  <si>
    <t xml:space="preserve">Tola Trading Ltd</t>
  </si>
  <si>
    <t xml:space="preserve">C1017</t>
  </si>
  <si>
    <t xml:space="preserve">Uche Agro Enterprises</t>
  </si>
  <si>
    <t xml:space="preserve">C1117</t>
  </si>
  <si>
    <t xml:space="preserve">Ibrahim Energy &amp; Sons</t>
  </si>
  <si>
    <t xml:space="preserve">C1007</t>
  </si>
  <si>
    <t xml:space="preserve">Sade Foods Enterprises</t>
  </si>
  <si>
    <t xml:space="preserve">C1091</t>
  </si>
  <si>
    <t xml:space="preserve">Tola Agro Nig Ltd</t>
  </si>
  <si>
    <t xml:space="preserve">C1080</t>
  </si>
  <si>
    <t xml:space="preserve">Bisi Energy &amp; Sons</t>
  </si>
  <si>
    <t xml:space="preserve">C1105</t>
  </si>
  <si>
    <t xml:space="preserve">Kunle Stores Ltd</t>
  </si>
  <si>
    <t xml:space="preserve">C1057</t>
  </si>
  <si>
    <t xml:space="preserve">Musa Motors Nig Ltd</t>
  </si>
  <si>
    <t xml:space="preserve">C1147</t>
  </si>
  <si>
    <t xml:space="preserve">Funke Fashion Ltd</t>
  </si>
  <si>
    <t xml:space="preserve">C1149</t>
  </si>
  <si>
    <t xml:space="preserve">Ade Electricals Ltd</t>
  </si>
  <si>
    <t xml:space="preserve">C1118</t>
  </si>
  <si>
    <t xml:space="preserve">Emeka Fashion Ltd</t>
  </si>
  <si>
    <t xml:space="preserve">C1044</t>
  </si>
  <si>
    <t xml:space="preserve">Emeka Fashion Nig Ltd</t>
  </si>
  <si>
    <t xml:space="preserve">C1058</t>
  </si>
  <si>
    <t xml:space="preserve">Segun Ventures Ltd</t>
  </si>
  <si>
    <t xml:space="preserve">C1141</t>
  </si>
  <si>
    <t xml:space="preserve">Uche Motors Enterprises</t>
  </si>
  <si>
    <t xml:space="preserve">C1071</t>
  </si>
  <si>
    <t xml:space="preserve">Ibrahim Supplies Nig Ltd</t>
  </si>
  <si>
    <t xml:space="preserve">C1029</t>
  </si>
  <si>
    <t xml:space="preserve">Uche Fashion Enterprises</t>
  </si>
  <si>
    <t xml:space="preserve">C1067</t>
  </si>
  <si>
    <t xml:space="preserve">Amaka Trading Ltd</t>
  </si>
  <si>
    <t xml:space="preserve">C1034</t>
  </si>
  <si>
    <t xml:space="preserve">Obi Foods Nig Ltd</t>
  </si>
  <si>
    <t xml:space="preserve">C1113</t>
  </si>
  <si>
    <t xml:space="preserve">Tola Ventures Enterprises</t>
  </si>
  <si>
    <t xml:space="preserve">C1134</t>
  </si>
  <si>
    <t xml:space="preserve">Uche Supplies Ltd</t>
  </si>
  <si>
    <t xml:space="preserve">C1098</t>
  </si>
  <si>
    <t xml:space="preserve">Tola Hardware Nig Ltd</t>
  </si>
  <si>
    <t xml:space="preserve">C1143</t>
  </si>
  <si>
    <t xml:space="preserve">Ngozi Foods Ltd</t>
  </si>
  <si>
    <t xml:space="preserve">C1125</t>
  </si>
  <si>
    <t xml:space="preserve">Amaka Textiles Nig Ltd</t>
  </si>
  <si>
    <t xml:space="preserve">C1023</t>
  </si>
  <si>
    <t xml:space="preserve">Uche Foods Nig Ltd</t>
  </si>
  <si>
    <t xml:space="preserve">C1042</t>
  </si>
  <si>
    <t xml:space="preserve">Ngozi Supplies Nig Ltd</t>
  </si>
  <si>
    <t xml:space="preserve">Assumptions &amp; Notes</t>
  </si>
  <si>
    <t xml:space="preserve">Edit the blue cells to change how risk is rated. Everything else recalculates.</t>
  </si>
  <si>
    <t xml:space="preserve">Setting</t>
  </si>
  <si>
    <t xml:space="preserve">Value</t>
  </si>
  <si>
    <t xml:space="preserve">What it means</t>
  </si>
  <si>
    <t xml:space="preserve">Margin warning threshold (%)</t>
  </si>
  <si>
    <t xml:space="preserve">Profit margin below this earns 1 risk point; below 0% earns 2</t>
  </si>
  <si>
    <t xml:space="preserve">Avg days late: medium</t>
  </si>
  <si>
    <t xml:space="preserve">Average days paid after due date above this earns 1 point</t>
  </si>
  <si>
    <t xml:space="preserve">Avg days late: high</t>
  </si>
  <si>
    <t xml:space="preserve">Above this earns 2 points</t>
  </si>
  <si>
    <t xml:space="preserve">Overdue % of revenue: medium</t>
  </si>
  <si>
    <t xml:space="preserve">Overdue amount as % of net revenue above this earns 1 point</t>
  </si>
  <si>
    <t xml:space="preserve">Overdue % of revenue: high</t>
  </si>
  <si>
    <t xml:space="preserve">Risk score for MEDIUM</t>
  </si>
  <si>
    <t xml:space="preserve">Total points at or above this = Medium</t>
  </si>
  <si>
    <t xml:space="preserve">Risk score for HIGH</t>
  </si>
  <si>
    <t xml:space="preserve">Total points at or above this = High</t>
  </si>
  <si>
    <t xml:space="preserve">Data: SIMULATED customer finance data (naira) created for a portfolio project. Not a real company.</t>
  </si>
  <si>
    <t xml:space="preserve">Source: customer_summary table built in SQL Server from invoices, payments and returns.</t>
  </si>
  <si>
    <t xml:space="preserve">Profit = gross amount - discount - returns - cost of goods - delivery cost.</t>
  </si>
  <si>
    <t xml:space="preserve">Overdue and aging use 30 Sep 2026 as the reporting date.</t>
  </si>
  <si>
    <t xml:space="preserve">Scorecard rows are sorted by net revenue (highest first); the top-20% figure on Summary relies on this.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</si>
</sst>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;\(#,##0\);\-"/>
    <numFmt numFmtId="167" formatCode="0.0"/>
    <numFmt numFmtId="168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99"/>
        <bgColor rgb="FFFFE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ont>
        <name val="Arial"/>
        <charset val="1"/>
        <family val="0"/>
        <b val="1"/>
        <color rgb="FFC00000"/>
      </font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ont>
        <name val="Arial"/>
        <charset val="1"/>
        <family val="0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E69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customers: revenue vs profit (₦)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Summary!B24</c:f>
              <c:strCache>
                <c:ptCount val="1"/>
                <c:pt idx="0">
                  <c:v>Net Revenue (₦)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Summary!$A$25:$A$34</c:f>
              <c:strCache>
                <c:ptCount val="10"/>
                <c:pt idx="0">
                  <c:v>Obi Ventures Enterprises</c:v>
                </c:pt>
                <c:pt idx="1">
                  <c:v>Halima Trading Ltd</c:v>
                </c:pt>
                <c:pt idx="2">
                  <c:v>Bisi Electricals Ltd</c:v>
                </c:pt>
                <c:pt idx="3">
                  <c:v>Emeka Energy Enterprises</c:v>
                </c:pt>
                <c:pt idx="4">
                  <c:v>Obi Logistics Nig Ltd</c:v>
                </c:pt>
                <c:pt idx="5">
                  <c:v>Ngozi Stores &amp; Sons</c:v>
                </c:pt>
                <c:pt idx="6">
                  <c:v>Chinedu Fashion Enterprises</c:v>
                </c:pt>
                <c:pt idx="7">
                  <c:v>Tola Electricals &amp; Sons</c:v>
                </c:pt>
                <c:pt idx="8">
                  <c:v>Zainab Fashion &amp; Sons</c:v>
                </c:pt>
                <c:pt idx="9">
                  <c:v>Funke Agro Enterprises</c:v>
                </c:pt>
              </c:strCache>
            </c:strRef>
          </c:cat>
          <c:val>
            <c:numRef>
              <c:f>Summary!$B$25:$B$34</c:f>
              <c:numCache>
                <c:formatCode>#,##0</c:formatCode>
                <c:ptCount val="10"/>
                <c:pt idx="0">
                  <c:v>21560410</c:v>
                </c:pt>
                <c:pt idx="1">
                  <c:v>17816040</c:v>
                </c:pt>
                <c:pt idx="2">
                  <c:v>17268180</c:v>
                </c:pt>
                <c:pt idx="3">
                  <c:v>16592970</c:v>
                </c:pt>
                <c:pt idx="4">
                  <c:v>15901820</c:v>
                </c:pt>
                <c:pt idx="5">
                  <c:v>15801870</c:v>
                </c:pt>
                <c:pt idx="6">
                  <c:v>13681740</c:v>
                </c:pt>
                <c:pt idx="7">
                  <c:v>13004420</c:v>
                </c:pt>
                <c:pt idx="8">
                  <c:v>11083500</c:v>
                </c:pt>
                <c:pt idx="9">
                  <c:v>10143630</c:v>
                </c:pt>
              </c:numCache>
            </c:numRef>
          </c:val>
        </c:ser>
        <c:ser>
          <c:idx val="1"/>
          <c:order val="1"/>
          <c:tx>
            <c:strRef>
              <c:f>Summary!C24</c:f>
              <c:strCache>
                <c:ptCount val="1"/>
                <c:pt idx="0">
                  <c:v>Profit (₦)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Summary!$A$25:$A$34</c:f>
              <c:strCache>
                <c:ptCount val="10"/>
                <c:pt idx="0">
                  <c:v>Obi Ventures Enterprises</c:v>
                </c:pt>
                <c:pt idx="1">
                  <c:v>Halima Trading Ltd</c:v>
                </c:pt>
                <c:pt idx="2">
                  <c:v>Bisi Electricals Ltd</c:v>
                </c:pt>
                <c:pt idx="3">
                  <c:v>Emeka Energy Enterprises</c:v>
                </c:pt>
                <c:pt idx="4">
                  <c:v>Obi Logistics Nig Ltd</c:v>
                </c:pt>
                <c:pt idx="5">
                  <c:v>Ngozi Stores &amp; Sons</c:v>
                </c:pt>
                <c:pt idx="6">
                  <c:v>Chinedu Fashion Enterprises</c:v>
                </c:pt>
                <c:pt idx="7">
                  <c:v>Tola Electricals &amp; Sons</c:v>
                </c:pt>
                <c:pt idx="8">
                  <c:v>Zainab Fashion &amp; Sons</c:v>
                </c:pt>
                <c:pt idx="9">
                  <c:v>Funke Agro Enterprises</c:v>
                </c:pt>
              </c:strCache>
            </c:strRef>
          </c:cat>
          <c:val>
            <c:numRef>
              <c:f>Summary!$C$25:$C$34</c:f>
              <c:numCache>
                <c:formatCode>#,##0;\(#,##0\);\-</c:formatCode>
                <c:ptCount val="10"/>
                <c:pt idx="0">
                  <c:v>25980</c:v>
                </c:pt>
                <c:pt idx="1">
                  <c:v>-1428080</c:v>
                </c:pt>
                <c:pt idx="2">
                  <c:v>-1747100</c:v>
                </c:pt>
                <c:pt idx="3">
                  <c:v>2569060</c:v>
                </c:pt>
                <c:pt idx="4">
                  <c:v>4149140</c:v>
                </c:pt>
                <c:pt idx="5">
                  <c:v>-935430</c:v>
                </c:pt>
                <c:pt idx="6">
                  <c:v>1204790</c:v>
                </c:pt>
                <c:pt idx="7">
                  <c:v>302350</c:v>
                </c:pt>
                <c:pt idx="8">
                  <c:v>-125630</c:v>
                </c:pt>
                <c:pt idx="9">
                  <c:v>-565420</c:v>
                </c:pt>
              </c:numCache>
            </c:numRef>
          </c:val>
        </c:ser>
        <c:gapWidth val="150"/>
        <c:overlap val="0"/>
        <c:axId val="54541372"/>
        <c:axId val="67578146"/>
      </c:barChart>
      <c:catAx>
        <c:axId val="545413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578146"/>
        <c:crosses val="autoZero"/>
        <c:auto val="1"/>
        <c:lblAlgn val="ctr"/>
        <c:lblOffset val="100"/>
        <c:noMultiLvlLbl val="0"/>
      </c:catAx>
      <c:valAx>
        <c:axId val="675781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54137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131040</xdr:rowOff>
    </xdr:from>
    <xdr:to>
      <xdr:col>18</xdr:col>
      <xdr:colOff>581760</xdr:colOff>
      <xdr:row>19</xdr:row>
      <xdr:rowOff>132120</xdr:rowOff>
    </xdr:to>
    <xdr:graphicFrame>
      <xdr:nvGraphicFramePr>
        <xdr:cNvPr id="0" name="Chart 1"/>
        <xdr:cNvGraphicFramePr/>
      </xdr:nvGraphicFramePr>
      <xdr:xfrm>
        <a:off x="8646840" y="57168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5" min="2" style="0" width="18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5" t="s">
        <v>3</v>
      </c>
      <c r="B5" s="6" t="n">
        <f aca="false">COUNTA(Scorecard!A2:A151)</f>
        <v>150</v>
      </c>
    </row>
    <row r="6" customFormat="false" ht="15" hidden="false" customHeight="false" outlineLevel="0" collapsed="false">
      <c r="A6" s="5" t="s">
        <v>4</v>
      </c>
      <c r="B6" s="6" t="n">
        <f aca="false">SUM(Scorecard!I2:I151)</f>
        <v>412124520</v>
      </c>
    </row>
    <row r="7" customFormat="false" ht="15" hidden="false" customHeight="false" outlineLevel="0" collapsed="false">
      <c r="A7" s="5" t="s">
        <v>5</v>
      </c>
      <c r="B7" s="7" t="n">
        <f aca="false">SUM(Scorecard!K2:K151)</f>
        <v>13362870</v>
      </c>
    </row>
    <row r="8" customFormat="false" ht="15" hidden="false" customHeight="false" outlineLevel="0" collapsed="false">
      <c r="A8" s="5" t="s">
        <v>6</v>
      </c>
      <c r="B8" s="8" t="n">
        <f aca="false">IFERROR(B7/B6*100,0)</f>
        <v>3.24243507763139</v>
      </c>
    </row>
    <row r="9" customFormat="false" ht="15" hidden="false" customHeight="false" outlineLevel="0" collapsed="false">
      <c r="A9" s="5" t="s">
        <v>7</v>
      </c>
      <c r="B9" s="6" t="n">
        <f aca="false">COUNTIF(Scorecard!K2:K151,"&lt;0")</f>
        <v>42</v>
      </c>
    </row>
    <row r="10" customFormat="false" ht="15" hidden="false" customHeight="false" outlineLevel="0" collapsed="false">
      <c r="A10" s="5" t="s">
        <v>8</v>
      </c>
      <c r="B10" s="6" t="n">
        <f aca="false">SUM(Scorecard!M2:M151)</f>
        <v>41805530</v>
      </c>
    </row>
    <row r="11" customFormat="false" ht="15" hidden="false" customHeight="false" outlineLevel="0" collapsed="false">
      <c r="A11" s="5" t="s">
        <v>9</v>
      </c>
      <c r="B11" s="6" t="n">
        <f aca="false">SUM(Scorecard!N2:N151)</f>
        <v>36184870</v>
      </c>
    </row>
    <row r="12" customFormat="false" ht="15" hidden="false" customHeight="false" outlineLevel="0" collapsed="false">
      <c r="A12" s="5" t="s">
        <v>10</v>
      </c>
      <c r="B12" s="6" t="n">
        <f aca="false">COUNTIF(Scorecard!V2:V151,"High")</f>
        <v>17</v>
      </c>
    </row>
    <row r="13" customFormat="false" ht="15" hidden="false" customHeight="false" outlineLevel="0" collapsed="false">
      <c r="A13" s="5" t="s">
        <v>11</v>
      </c>
      <c r="B13" s="6" t="n">
        <f aca="false">SUMIFS(Scorecard!I2:I151,Scorecard!V2:V151,"High")</f>
        <v>68377070</v>
      </c>
    </row>
    <row r="14" customFormat="false" ht="15" hidden="false" customHeight="false" outlineLevel="0" collapsed="false">
      <c r="A14" s="5" t="s">
        <v>12</v>
      </c>
      <c r="B14" s="9" t="n">
        <f aca="false">SUM(Scorecard!I2:I31)/SUM(Scorecard!I2:I151)*100</f>
        <v>64.4789443734141</v>
      </c>
    </row>
    <row r="15" customFormat="false" ht="15" hidden="false" customHeight="false" outlineLevel="0" collapsed="false">
      <c r="A15" s="5" t="s">
        <v>13</v>
      </c>
      <c r="B15" s="9" t="n">
        <f aca="false">SUM(Scorecard!K2:K31)/SUM(Scorecard!K2:K151)*100</f>
        <v>44.1334833011172</v>
      </c>
    </row>
    <row r="18" customFormat="false" ht="15" hidden="false" customHeight="false" outlineLevel="0" collapsed="false">
      <c r="A18" s="10" t="s">
        <v>14</v>
      </c>
      <c r="B18" s="3" t="s">
        <v>15</v>
      </c>
      <c r="C18" s="3" t="s">
        <v>16</v>
      </c>
      <c r="D18" s="3" t="s">
        <v>17</v>
      </c>
      <c r="E18" s="3" t="s">
        <v>18</v>
      </c>
    </row>
    <row r="19" customFormat="false" ht="15" hidden="false" customHeight="false" outlineLevel="0" collapsed="false">
      <c r="A19" s="5" t="s">
        <v>19</v>
      </c>
      <c r="B19" s="5" t="n">
        <f aca="false">COUNTIFS(Scorecard!$C$2:$C$151,$A19,Scorecard!$V$2:$V$151,"Low")</f>
        <v>10</v>
      </c>
      <c r="C19" s="5" t="n">
        <f aca="false">COUNTIFS(Scorecard!$C$2:$C$151,$A19,Scorecard!$V$2:$V$151,"Medium")</f>
        <v>10</v>
      </c>
      <c r="D19" s="5" t="n">
        <f aca="false">COUNTIFS(Scorecard!$C$2:$C$151,$A19,Scorecard!$V$2:$V$151,"High")</f>
        <v>4</v>
      </c>
      <c r="E19" s="5" t="n">
        <f aca="false">SUM(B19:D19)</f>
        <v>24</v>
      </c>
    </row>
    <row r="20" customFormat="false" ht="15" hidden="false" customHeight="false" outlineLevel="0" collapsed="false">
      <c r="A20" s="5" t="s">
        <v>20</v>
      </c>
      <c r="B20" s="5" t="n">
        <f aca="false">COUNTIFS(Scorecard!$C$2:$C$151,$A20,Scorecard!$V$2:$V$151,"Low")</f>
        <v>25</v>
      </c>
      <c r="C20" s="5" t="n">
        <f aca="false">COUNTIFS(Scorecard!$C$2:$C$151,$A20,Scorecard!$V$2:$V$151,"Medium")</f>
        <v>29</v>
      </c>
      <c r="D20" s="5" t="n">
        <f aca="false">COUNTIFS(Scorecard!$C$2:$C$151,$A20,Scorecard!$V$2:$V$151,"High")</f>
        <v>6</v>
      </c>
      <c r="E20" s="5" t="n">
        <f aca="false">SUM(B20:D20)</f>
        <v>60</v>
      </c>
    </row>
    <row r="21" customFormat="false" ht="15" hidden="false" customHeight="false" outlineLevel="0" collapsed="false">
      <c r="A21" s="5" t="s">
        <v>21</v>
      </c>
      <c r="B21" s="5" t="n">
        <f aca="false">COUNTIFS(Scorecard!$C$2:$C$151,$A21,Scorecard!$V$2:$V$151,"Low")</f>
        <v>39</v>
      </c>
      <c r="C21" s="5" t="n">
        <f aca="false">COUNTIFS(Scorecard!$C$2:$C$151,$A21,Scorecard!$V$2:$V$151,"Medium")</f>
        <v>20</v>
      </c>
      <c r="D21" s="5" t="n">
        <f aca="false">COUNTIFS(Scorecard!$C$2:$C$151,$A21,Scorecard!$V$2:$V$151,"High")</f>
        <v>7</v>
      </c>
      <c r="E21" s="5" t="n">
        <f aca="false">SUM(B21:D21)</f>
        <v>66</v>
      </c>
    </row>
    <row r="23" customFormat="false" ht="15" hidden="false" customHeight="false" outlineLevel="0" collapsed="false">
      <c r="A23" s="10" t="s">
        <v>22</v>
      </c>
    </row>
    <row r="24" customFormat="false" ht="15" hidden="false" customHeight="false" outlineLevel="0" collapsed="false">
      <c r="A24" s="3" t="s">
        <v>23</v>
      </c>
      <c r="B24" s="3" t="s">
        <v>24</v>
      </c>
      <c r="C24" s="3" t="s">
        <v>25</v>
      </c>
      <c r="D24" s="3" t="s">
        <v>26</v>
      </c>
      <c r="E24" s="3" t="s">
        <v>27</v>
      </c>
    </row>
    <row r="25" customFormat="false" ht="15" hidden="false" customHeight="false" outlineLevel="0" collapsed="false">
      <c r="A25" s="11" t="str">
        <f aca="false">Scorecard!B2</f>
        <v>Obi Ventures Enterprises</v>
      </c>
      <c r="B25" s="6" t="n">
        <f aca="false">Scorecard!I2</f>
        <v>21560410</v>
      </c>
      <c r="C25" s="7" t="n">
        <f aca="false">Scorecard!K2</f>
        <v>25980</v>
      </c>
      <c r="D25" s="9" t="n">
        <f aca="false">Scorecard!L2</f>
        <v>0.1</v>
      </c>
      <c r="E25" s="11" t="str">
        <f aca="false">Scorecard!V2</f>
        <v>High</v>
      </c>
    </row>
    <row r="26" customFormat="false" ht="15" hidden="false" customHeight="false" outlineLevel="0" collapsed="false">
      <c r="A26" s="11" t="str">
        <f aca="false">Scorecard!B3</f>
        <v>Halima Trading Ltd</v>
      </c>
      <c r="B26" s="6" t="n">
        <f aca="false">Scorecard!I3</f>
        <v>17816040</v>
      </c>
      <c r="C26" s="7" t="n">
        <f aca="false">Scorecard!K3</f>
        <v>-1428080</v>
      </c>
      <c r="D26" s="9" t="n">
        <f aca="false">Scorecard!L3</f>
        <v>-8</v>
      </c>
      <c r="E26" s="11" t="str">
        <f aca="false">Scorecard!V3</f>
        <v>Medium</v>
      </c>
    </row>
    <row r="27" customFormat="false" ht="15" hidden="false" customHeight="false" outlineLevel="0" collapsed="false">
      <c r="A27" s="11" t="str">
        <f aca="false">Scorecard!B4</f>
        <v>Bisi Electricals Ltd</v>
      </c>
      <c r="B27" s="6" t="n">
        <f aca="false">Scorecard!I4</f>
        <v>17268180</v>
      </c>
      <c r="C27" s="7" t="n">
        <f aca="false">Scorecard!K4</f>
        <v>-1747100</v>
      </c>
      <c r="D27" s="9" t="n">
        <f aca="false">Scorecard!L4</f>
        <v>-10.1</v>
      </c>
      <c r="E27" s="11" t="str">
        <f aca="false">Scorecard!V4</f>
        <v>Medium</v>
      </c>
    </row>
    <row r="28" customFormat="false" ht="15" hidden="false" customHeight="false" outlineLevel="0" collapsed="false">
      <c r="A28" s="11" t="str">
        <f aca="false">Scorecard!B5</f>
        <v>Emeka Energy Enterprises</v>
      </c>
      <c r="B28" s="6" t="n">
        <f aca="false">Scorecard!I5</f>
        <v>16592970</v>
      </c>
      <c r="C28" s="7" t="n">
        <f aca="false">Scorecard!K5</f>
        <v>2569060</v>
      </c>
      <c r="D28" s="9" t="n">
        <f aca="false">Scorecard!L5</f>
        <v>15.5</v>
      </c>
      <c r="E28" s="11" t="str">
        <f aca="false">Scorecard!V5</f>
        <v>Low</v>
      </c>
    </row>
    <row r="29" customFormat="false" ht="15" hidden="false" customHeight="false" outlineLevel="0" collapsed="false">
      <c r="A29" s="11" t="str">
        <f aca="false">Scorecard!B6</f>
        <v>Obi Logistics Nig Ltd</v>
      </c>
      <c r="B29" s="6" t="n">
        <f aca="false">Scorecard!I6</f>
        <v>15901820</v>
      </c>
      <c r="C29" s="7" t="n">
        <f aca="false">Scorecard!K6</f>
        <v>4149140</v>
      </c>
      <c r="D29" s="9" t="n">
        <f aca="false">Scorecard!L6</f>
        <v>26.1</v>
      </c>
      <c r="E29" s="11" t="str">
        <f aca="false">Scorecard!V6</f>
        <v>Low</v>
      </c>
    </row>
    <row r="30" customFormat="false" ht="15" hidden="false" customHeight="false" outlineLevel="0" collapsed="false">
      <c r="A30" s="11" t="str">
        <f aca="false">Scorecard!B7</f>
        <v>Ngozi Stores &amp; Sons</v>
      </c>
      <c r="B30" s="6" t="n">
        <f aca="false">Scorecard!I7</f>
        <v>15801870</v>
      </c>
      <c r="C30" s="7" t="n">
        <f aca="false">Scorecard!K7</f>
        <v>-935430</v>
      </c>
      <c r="D30" s="9" t="n">
        <f aca="false">Scorecard!L7</f>
        <v>-5.9</v>
      </c>
      <c r="E30" s="11" t="str">
        <f aca="false">Scorecard!V7</f>
        <v>Medium</v>
      </c>
    </row>
    <row r="31" customFormat="false" ht="15" hidden="false" customHeight="false" outlineLevel="0" collapsed="false">
      <c r="A31" s="11" t="str">
        <f aca="false">Scorecard!B8</f>
        <v>Chinedu Fashion Enterprises</v>
      </c>
      <c r="B31" s="6" t="n">
        <f aca="false">Scorecard!I8</f>
        <v>13681740</v>
      </c>
      <c r="C31" s="7" t="n">
        <f aca="false">Scorecard!K8</f>
        <v>1204790</v>
      </c>
      <c r="D31" s="9" t="n">
        <f aca="false">Scorecard!L8</f>
        <v>8.8</v>
      </c>
      <c r="E31" s="11" t="str">
        <f aca="false">Scorecard!V8</f>
        <v>Low</v>
      </c>
    </row>
    <row r="32" customFormat="false" ht="15" hidden="false" customHeight="false" outlineLevel="0" collapsed="false">
      <c r="A32" s="11" t="str">
        <f aca="false">Scorecard!B9</f>
        <v>Tola Electricals &amp; Sons</v>
      </c>
      <c r="B32" s="6" t="n">
        <f aca="false">Scorecard!I9</f>
        <v>13004420</v>
      </c>
      <c r="C32" s="7" t="n">
        <f aca="false">Scorecard!K9</f>
        <v>302350</v>
      </c>
      <c r="D32" s="9" t="n">
        <f aca="false">Scorecard!L9</f>
        <v>2.3</v>
      </c>
      <c r="E32" s="11" t="str">
        <f aca="false">Scorecard!V9</f>
        <v>High</v>
      </c>
    </row>
    <row r="33" customFormat="false" ht="15" hidden="false" customHeight="false" outlineLevel="0" collapsed="false">
      <c r="A33" s="11" t="str">
        <f aca="false">Scorecard!B10</f>
        <v>Zainab Fashion &amp; Sons</v>
      </c>
      <c r="B33" s="6" t="n">
        <f aca="false">Scorecard!I10</f>
        <v>11083500</v>
      </c>
      <c r="C33" s="7" t="n">
        <f aca="false">Scorecard!K10</f>
        <v>-125630</v>
      </c>
      <c r="D33" s="9" t="n">
        <f aca="false">Scorecard!L10</f>
        <v>-1.1</v>
      </c>
      <c r="E33" s="11" t="str">
        <f aca="false">Scorecard!V10</f>
        <v>Medium</v>
      </c>
    </row>
    <row r="34" customFormat="false" ht="15" hidden="false" customHeight="false" outlineLevel="0" collapsed="false">
      <c r="A34" s="11" t="str">
        <f aca="false">Scorecard!B11</f>
        <v>Funke Agro Enterprises</v>
      </c>
      <c r="B34" s="6" t="n">
        <f aca="false">Scorecard!I11</f>
        <v>10143630</v>
      </c>
      <c r="C34" s="7" t="n">
        <f aca="false">Scorecard!K11</f>
        <v>-565420</v>
      </c>
      <c r="D34" s="9" t="n">
        <f aca="false">Scorecard!L11</f>
        <v>-5.6</v>
      </c>
      <c r="E34" s="11" t="str">
        <f aca="false">Scorecard!V11</f>
        <v>High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8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3"/>
    <col collapsed="false" customWidth="true" hidden="false" outlineLevel="0" max="11" min="11" style="0" width="14"/>
    <col collapsed="false" customWidth="true" hidden="false" outlineLevel="0" max="12" min="12" style="0" width="10"/>
    <col collapsed="false" customWidth="true" hidden="false" outlineLevel="0" max="13" min="13" style="0" width="14"/>
    <col collapsed="false" customWidth="true" hidden="false" outlineLevel="0" max="14" min="14" style="0" width="13"/>
    <col collapsed="false" customWidth="true" hidden="false" outlineLevel="0" max="15" min="15" style="0" width="10"/>
    <col collapsed="false" customWidth="true" hidden="false" outlineLevel="0" max="17" min="16" style="0" width="11"/>
    <col collapsed="false" customWidth="true" hidden="false" outlineLevel="0" max="21" min="18" style="0" width="8"/>
    <col collapsed="false" customWidth="true" hidden="false" outlineLevel="0" max="22" min="22" style="0" width="10"/>
  </cols>
  <sheetData>
    <row r="1" customFormat="false" ht="33.75" hidden="false" customHeight="true" outlineLevel="0" collapsed="false">
      <c r="A1" s="12" t="s">
        <v>28</v>
      </c>
      <c r="B1" s="12" t="s">
        <v>23</v>
      </c>
      <c r="C1" s="12" t="s">
        <v>14</v>
      </c>
      <c r="D1" s="12" t="s">
        <v>29</v>
      </c>
      <c r="E1" s="12" t="s">
        <v>30</v>
      </c>
      <c r="F1" s="12" t="s">
        <v>31</v>
      </c>
      <c r="G1" s="12" t="s">
        <v>32</v>
      </c>
      <c r="H1" s="12" t="s">
        <v>33</v>
      </c>
      <c r="I1" s="12" t="s">
        <v>24</v>
      </c>
      <c r="J1" s="12" t="s">
        <v>34</v>
      </c>
      <c r="K1" s="12" t="s">
        <v>25</v>
      </c>
      <c r="L1" s="12" t="s">
        <v>35</v>
      </c>
      <c r="M1" s="12" t="s">
        <v>36</v>
      </c>
      <c r="N1" s="12" t="s">
        <v>37</v>
      </c>
      <c r="O1" s="12" t="s">
        <v>38</v>
      </c>
      <c r="P1" s="12" t="s">
        <v>39</v>
      </c>
      <c r="Q1" s="12" t="s">
        <v>40</v>
      </c>
      <c r="R1" s="12" t="s">
        <v>41</v>
      </c>
      <c r="S1" s="12" t="s">
        <v>42</v>
      </c>
      <c r="T1" s="12" t="s">
        <v>43</v>
      </c>
      <c r="U1" s="12" t="s">
        <v>44</v>
      </c>
      <c r="V1" s="12" t="s">
        <v>45</v>
      </c>
    </row>
    <row r="2" customFormat="false" ht="15" hidden="false" customHeight="false" outlineLevel="0" collapsed="false">
      <c r="A2" s="5" t="s">
        <v>46</v>
      </c>
      <c r="B2" s="5" t="s">
        <v>47</v>
      </c>
      <c r="C2" s="5" t="s">
        <v>19</v>
      </c>
      <c r="D2" s="5" t="s">
        <v>48</v>
      </c>
      <c r="E2" s="5" t="n">
        <v>45</v>
      </c>
      <c r="F2" s="5" t="n">
        <v>36</v>
      </c>
      <c r="G2" s="13" t="n">
        <v>30775600</v>
      </c>
      <c r="H2" s="13" t="n">
        <v>9215190</v>
      </c>
      <c r="I2" s="13" t="n">
        <v>21560410</v>
      </c>
      <c r="J2" s="13" t="n">
        <v>29180</v>
      </c>
      <c r="K2" s="13" t="n">
        <v>25980</v>
      </c>
      <c r="L2" s="8" t="n">
        <v>0.1</v>
      </c>
      <c r="M2" s="13" t="n">
        <v>6998950</v>
      </c>
      <c r="N2" s="13" t="n">
        <v>5038560</v>
      </c>
      <c r="O2" s="8" t="n">
        <v>39.08</v>
      </c>
      <c r="P2" s="8" t="n">
        <f aca="false">IFERROR(H2/G2*100,0)</f>
        <v>29.9431692639624</v>
      </c>
      <c r="Q2" s="8" t="n">
        <f aca="false">IFERROR(N2/I2*100,0)</f>
        <v>23.3694999306599</v>
      </c>
      <c r="R2" s="14" t="n">
        <f aca="false">IF(L2&lt;0,2,IF(L2&lt;Assumptions!$B$4,1,0))</f>
        <v>1</v>
      </c>
      <c r="S2" s="14" t="n">
        <f aca="false">IF(O2&gt;Assumptions!$B$6,2,IF(O2&gt;Assumptions!$B$5,1,0))</f>
        <v>2</v>
      </c>
      <c r="T2" s="14" t="n">
        <f aca="false">IF(Q2&gt;Assumptions!$B$8,2,IF(Q2&gt;Assumptions!$B$7,1,0))</f>
        <v>2</v>
      </c>
      <c r="U2" s="14" t="n">
        <f aca="false">R2+S2+T2</f>
        <v>5</v>
      </c>
      <c r="V2" s="15" t="str">
        <f aca="false">IF(U2&gt;=Assumptions!$B$10,"High",IF(U2&gt;=Assumptions!$B$9,"Medium","Low"))</f>
        <v>High</v>
      </c>
    </row>
    <row r="3" customFormat="false" ht="15" hidden="false" customHeight="false" outlineLevel="0" collapsed="false">
      <c r="A3" s="5" t="s">
        <v>49</v>
      </c>
      <c r="B3" s="5" t="s">
        <v>50</v>
      </c>
      <c r="C3" s="5" t="s">
        <v>19</v>
      </c>
      <c r="D3" s="5" t="s">
        <v>51</v>
      </c>
      <c r="E3" s="5" t="n">
        <v>45</v>
      </c>
      <c r="F3" s="5" t="n">
        <v>31</v>
      </c>
      <c r="G3" s="13" t="n">
        <v>23317100</v>
      </c>
      <c r="H3" s="13" t="n">
        <v>5501060</v>
      </c>
      <c r="I3" s="13" t="n">
        <v>17816040</v>
      </c>
      <c r="J3" s="13" t="n">
        <v>546320</v>
      </c>
      <c r="K3" s="13" t="n">
        <v>-1428080</v>
      </c>
      <c r="L3" s="8" t="n">
        <v>-8</v>
      </c>
      <c r="M3" s="13" t="n">
        <v>955520</v>
      </c>
      <c r="N3" s="13" t="n">
        <v>130270</v>
      </c>
      <c r="O3" s="8" t="n">
        <v>12.241379</v>
      </c>
      <c r="P3" s="8" t="n">
        <f aca="false">IFERROR(H3/G3*100,0)</f>
        <v>23.5923849878415</v>
      </c>
      <c r="Q3" s="8" t="n">
        <f aca="false">IFERROR(N3/I3*100,0)</f>
        <v>0.731195035484878</v>
      </c>
      <c r="R3" s="14" t="n">
        <f aca="false">IF(L3&lt;0,2,IF(L3&lt;Assumptions!$B$4,1,0))</f>
        <v>2</v>
      </c>
      <c r="S3" s="14" t="n">
        <f aca="false">IF(O3&gt;Assumptions!$B$6,2,IF(O3&gt;Assumptions!$B$5,1,0))</f>
        <v>0</v>
      </c>
      <c r="T3" s="14" t="n">
        <f aca="false">IF(Q3&gt;Assumptions!$B$8,2,IF(Q3&gt;Assumptions!$B$7,1,0))</f>
        <v>0</v>
      </c>
      <c r="U3" s="14" t="n">
        <f aca="false">R3+S3+T3</f>
        <v>2</v>
      </c>
      <c r="V3" s="15" t="str">
        <f aca="false">IF(U3&gt;=Assumptions!$B$10,"High",IF(U3&gt;=Assumptions!$B$9,"Medium","Low"))</f>
        <v>Medium</v>
      </c>
    </row>
    <row r="4" customFormat="false" ht="15" hidden="false" customHeight="false" outlineLevel="0" collapsed="false">
      <c r="A4" s="5" t="s">
        <v>52</v>
      </c>
      <c r="B4" s="5" t="s">
        <v>53</v>
      </c>
      <c r="C4" s="5" t="s">
        <v>19</v>
      </c>
      <c r="D4" s="5" t="s">
        <v>54</v>
      </c>
      <c r="E4" s="5" t="n">
        <v>45</v>
      </c>
      <c r="F4" s="5" t="n">
        <v>33</v>
      </c>
      <c r="G4" s="13" t="n">
        <v>22601500</v>
      </c>
      <c r="H4" s="13" t="n">
        <v>5333320</v>
      </c>
      <c r="I4" s="13" t="n">
        <v>17268180</v>
      </c>
      <c r="J4" s="13" t="n">
        <v>0</v>
      </c>
      <c r="K4" s="13" t="n">
        <v>-1747100</v>
      </c>
      <c r="L4" s="8" t="n">
        <v>-10.1</v>
      </c>
      <c r="M4" s="13" t="n">
        <v>1020090</v>
      </c>
      <c r="N4" s="13" t="n">
        <v>0</v>
      </c>
      <c r="O4" s="8" t="n">
        <v>13.366666</v>
      </c>
      <c r="P4" s="8" t="n">
        <f aca="false">IFERROR(H4/G4*100,0)</f>
        <v>23.5971948764463</v>
      </c>
      <c r="Q4" s="8" t="n">
        <f aca="false">IFERROR(N4/I4*100,0)</f>
        <v>0</v>
      </c>
      <c r="R4" s="14" t="n">
        <f aca="false">IF(L4&lt;0,2,IF(L4&lt;Assumptions!$B$4,1,0))</f>
        <v>2</v>
      </c>
      <c r="S4" s="14" t="n">
        <f aca="false">IF(O4&gt;Assumptions!$B$6,2,IF(O4&gt;Assumptions!$B$5,1,0))</f>
        <v>0</v>
      </c>
      <c r="T4" s="14" t="n">
        <f aca="false">IF(Q4&gt;Assumptions!$B$8,2,IF(Q4&gt;Assumptions!$B$7,1,0))</f>
        <v>0</v>
      </c>
      <c r="U4" s="14" t="n">
        <f aca="false">R4+S4+T4</f>
        <v>2</v>
      </c>
      <c r="V4" s="15" t="str">
        <f aca="false">IF(U4&gt;=Assumptions!$B$10,"High",IF(U4&gt;=Assumptions!$B$9,"Medium","Low"))</f>
        <v>Medium</v>
      </c>
    </row>
    <row r="5" customFormat="false" ht="15" hidden="false" customHeight="false" outlineLevel="0" collapsed="false">
      <c r="A5" s="5" t="s">
        <v>55</v>
      </c>
      <c r="B5" s="5" t="s">
        <v>56</v>
      </c>
      <c r="C5" s="5" t="s">
        <v>19</v>
      </c>
      <c r="D5" s="5" t="s">
        <v>57</v>
      </c>
      <c r="E5" s="5" t="n">
        <v>45</v>
      </c>
      <c r="F5" s="5" t="n">
        <v>21</v>
      </c>
      <c r="G5" s="13" t="n">
        <v>18719300</v>
      </c>
      <c r="H5" s="13" t="n">
        <v>2126330</v>
      </c>
      <c r="I5" s="13" t="n">
        <v>16592970</v>
      </c>
      <c r="J5" s="13" t="n">
        <v>0</v>
      </c>
      <c r="K5" s="13" t="n">
        <v>2569060</v>
      </c>
      <c r="L5" s="8" t="n">
        <v>15.5</v>
      </c>
      <c r="M5" s="13" t="n">
        <v>297220</v>
      </c>
      <c r="N5" s="13" t="n">
        <v>297220</v>
      </c>
      <c r="O5" s="8" t="n">
        <v>20.714285</v>
      </c>
      <c r="P5" s="8" t="n">
        <f aca="false">IFERROR(H5/G5*100,0)</f>
        <v>11.3590251772235</v>
      </c>
      <c r="Q5" s="8" t="n">
        <f aca="false">IFERROR(N5/I5*100,0)</f>
        <v>1.79124050727507</v>
      </c>
      <c r="R5" s="14" t="n">
        <f aca="false">IF(L5&lt;0,2,IF(L5&lt;Assumptions!$B$4,1,0))</f>
        <v>0</v>
      </c>
      <c r="S5" s="14" t="n">
        <f aca="false">IF(O5&gt;Assumptions!$B$6,2,IF(O5&gt;Assumptions!$B$5,1,0))</f>
        <v>1</v>
      </c>
      <c r="T5" s="14" t="n">
        <f aca="false">IF(Q5&gt;Assumptions!$B$8,2,IF(Q5&gt;Assumptions!$B$7,1,0))</f>
        <v>0</v>
      </c>
      <c r="U5" s="14" t="n">
        <f aca="false">R5+S5+T5</f>
        <v>1</v>
      </c>
      <c r="V5" s="15" t="str">
        <f aca="false">IF(U5&gt;=Assumptions!$B$10,"High",IF(U5&gt;=Assumptions!$B$9,"Medium","Low"))</f>
        <v>Low</v>
      </c>
    </row>
    <row r="6" customFormat="false" ht="15" hidden="false" customHeight="false" outlineLevel="0" collapsed="false">
      <c r="A6" s="5" t="s">
        <v>58</v>
      </c>
      <c r="B6" s="5" t="s">
        <v>59</v>
      </c>
      <c r="C6" s="5" t="s">
        <v>19</v>
      </c>
      <c r="D6" s="5" t="s">
        <v>57</v>
      </c>
      <c r="E6" s="5" t="n">
        <v>30</v>
      </c>
      <c r="F6" s="5" t="n">
        <v>29</v>
      </c>
      <c r="G6" s="13" t="n">
        <v>17048800</v>
      </c>
      <c r="H6" s="13" t="n">
        <v>1146980</v>
      </c>
      <c r="I6" s="13" t="n">
        <v>15901820</v>
      </c>
      <c r="J6" s="13" t="n">
        <v>0</v>
      </c>
      <c r="K6" s="13" t="n">
        <v>4149140</v>
      </c>
      <c r="L6" s="8" t="n">
        <v>26.1</v>
      </c>
      <c r="M6" s="13" t="n">
        <v>2181590</v>
      </c>
      <c r="N6" s="13" t="n">
        <v>2181590</v>
      </c>
      <c r="O6" s="8" t="n">
        <v>4.615384</v>
      </c>
      <c r="P6" s="8" t="n">
        <f aca="false">IFERROR(H6/G6*100,0)</f>
        <v>6.72762892402984</v>
      </c>
      <c r="Q6" s="8" t="n">
        <f aca="false">IFERROR(N6/I6*100,0)</f>
        <v>13.7191214590531</v>
      </c>
      <c r="R6" s="14" t="n">
        <f aca="false">IF(L6&lt;0,2,IF(L6&lt;Assumptions!$B$4,1,0))</f>
        <v>0</v>
      </c>
      <c r="S6" s="14" t="n">
        <f aca="false">IF(O6&gt;Assumptions!$B$6,2,IF(O6&gt;Assumptions!$B$5,1,0))</f>
        <v>0</v>
      </c>
      <c r="T6" s="14" t="n">
        <f aca="false">IF(Q6&gt;Assumptions!$B$8,2,IF(Q6&gt;Assumptions!$B$7,1,0))</f>
        <v>1</v>
      </c>
      <c r="U6" s="14" t="n">
        <f aca="false">R6+S6+T6</f>
        <v>1</v>
      </c>
      <c r="V6" s="15" t="str">
        <f aca="false">IF(U6&gt;=Assumptions!$B$10,"High",IF(U6&gt;=Assumptions!$B$9,"Medium","Low"))</f>
        <v>Low</v>
      </c>
    </row>
    <row r="7" customFormat="false" ht="15" hidden="false" customHeight="false" outlineLevel="0" collapsed="false">
      <c r="A7" s="5" t="s">
        <v>60</v>
      </c>
      <c r="B7" s="5" t="s">
        <v>61</v>
      </c>
      <c r="C7" s="5" t="s">
        <v>19</v>
      </c>
      <c r="D7" s="5" t="s">
        <v>57</v>
      </c>
      <c r="E7" s="5" t="n">
        <v>45</v>
      </c>
      <c r="F7" s="5" t="n">
        <v>35</v>
      </c>
      <c r="G7" s="13" t="n">
        <v>20455500</v>
      </c>
      <c r="H7" s="13" t="n">
        <v>4653630</v>
      </c>
      <c r="I7" s="13" t="n">
        <v>15801870</v>
      </c>
      <c r="J7" s="13" t="n">
        <v>438190</v>
      </c>
      <c r="K7" s="13" t="n">
        <v>-935430</v>
      </c>
      <c r="L7" s="8" t="n">
        <v>-5.9</v>
      </c>
      <c r="M7" s="13" t="n">
        <v>2214740</v>
      </c>
      <c r="N7" s="13" t="n">
        <v>2214740</v>
      </c>
      <c r="O7" s="8" t="n">
        <v>13.16129</v>
      </c>
      <c r="P7" s="8" t="n">
        <f aca="false">IFERROR(H7/G7*100,0)</f>
        <v>22.7500183324778</v>
      </c>
      <c r="Q7" s="8" t="n">
        <f aca="false">IFERROR(N7/I7*100,0)</f>
        <v>14.0156829539795</v>
      </c>
      <c r="R7" s="14" t="n">
        <f aca="false">IF(L7&lt;0,2,IF(L7&lt;Assumptions!$B$4,1,0))</f>
        <v>2</v>
      </c>
      <c r="S7" s="14" t="n">
        <f aca="false">IF(O7&gt;Assumptions!$B$6,2,IF(O7&gt;Assumptions!$B$5,1,0))</f>
        <v>0</v>
      </c>
      <c r="T7" s="14" t="n">
        <f aca="false">IF(Q7&gt;Assumptions!$B$8,2,IF(Q7&gt;Assumptions!$B$7,1,0))</f>
        <v>1</v>
      </c>
      <c r="U7" s="14" t="n">
        <f aca="false">R7+S7+T7</f>
        <v>3</v>
      </c>
      <c r="V7" s="15" t="str">
        <f aca="false">IF(U7&gt;=Assumptions!$B$10,"High",IF(U7&gt;=Assumptions!$B$9,"Medium","Low"))</f>
        <v>Medium</v>
      </c>
    </row>
    <row r="8" customFormat="false" ht="15" hidden="false" customHeight="false" outlineLevel="0" collapsed="false">
      <c r="A8" s="5" t="s">
        <v>62</v>
      </c>
      <c r="B8" s="5" t="s">
        <v>63</v>
      </c>
      <c r="C8" s="5" t="s">
        <v>19</v>
      </c>
      <c r="D8" s="5" t="s">
        <v>57</v>
      </c>
      <c r="E8" s="5" t="n">
        <v>30</v>
      </c>
      <c r="F8" s="5" t="n">
        <v>26</v>
      </c>
      <c r="G8" s="13" t="n">
        <v>17578400</v>
      </c>
      <c r="H8" s="13" t="n">
        <v>3896660</v>
      </c>
      <c r="I8" s="13" t="n">
        <v>13681740</v>
      </c>
      <c r="J8" s="13" t="n">
        <v>762420</v>
      </c>
      <c r="K8" s="13" t="n">
        <v>1204790</v>
      </c>
      <c r="L8" s="8" t="n">
        <v>8.8</v>
      </c>
      <c r="M8" s="13" t="n">
        <v>261460</v>
      </c>
      <c r="N8" s="13" t="n">
        <v>261460</v>
      </c>
      <c r="O8" s="8" t="n">
        <v>11.346153</v>
      </c>
      <c r="P8" s="8" t="n">
        <f aca="false">IFERROR(H8/G8*100,0)</f>
        <v>22.1673189823875</v>
      </c>
      <c r="Q8" s="8" t="n">
        <f aca="false">IFERROR(N8/I8*100,0)</f>
        <v>1.91101424234052</v>
      </c>
      <c r="R8" s="14" t="n">
        <f aca="false">IF(L8&lt;0,2,IF(L8&lt;Assumptions!$B$4,1,0))</f>
        <v>0</v>
      </c>
      <c r="S8" s="14" t="n">
        <f aca="false">IF(O8&gt;Assumptions!$B$6,2,IF(O8&gt;Assumptions!$B$5,1,0))</f>
        <v>0</v>
      </c>
      <c r="T8" s="14" t="n">
        <f aca="false">IF(Q8&gt;Assumptions!$B$8,2,IF(Q8&gt;Assumptions!$B$7,1,0))</f>
        <v>0</v>
      </c>
      <c r="U8" s="14" t="n">
        <f aca="false">R8+S8+T8</f>
        <v>0</v>
      </c>
      <c r="V8" s="15" t="str">
        <f aca="false">IF(U8&gt;=Assumptions!$B$10,"High",IF(U8&gt;=Assumptions!$B$9,"Medium","Low"))</f>
        <v>Low</v>
      </c>
    </row>
    <row r="9" customFormat="false" ht="15" hidden="false" customHeight="false" outlineLevel="0" collapsed="false">
      <c r="A9" s="5" t="s">
        <v>64</v>
      </c>
      <c r="B9" s="5" t="s">
        <v>65</v>
      </c>
      <c r="C9" s="5" t="s">
        <v>19</v>
      </c>
      <c r="D9" s="5" t="s">
        <v>48</v>
      </c>
      <c r="E9" s="5" t="n">
        <v>45</v>
      </c>
      <c r="F9" s="5" t="n">
        <v>26</v>
      </c>
      <c r="G9" s="13" t="n">
        <v>16669900</v>
      </c>
      <c r="H9" s="13" t="n">
        <v>3665480</v>
      </c>
      <c r="I9" s="13" t="n">
        <v>13004420</v>
      </c>
      <c r="J9" s="13" t="n">
        <v>360860</v>
      </c>
      <c r="K9" s="13" t="n">
        <v>302350</v>
      </c>
      <c r="L9" s="8" t="n">
        <v>2.3</v>
      </c>
      <c r="M9" s="13" t="n">
        <v>2694310</v>
      </c>
      <c r="N9" s="13" t="n">
        <v>2132330</v>
      </c>
      <c r="O9" s="8" t="n">
        <v>62.545454</v>
      </c>
      <c r="P9" s="8" t="n">
        <f aca="false">IFERROR(H9/G9*100,0)</f>
        <v>21.9886142088435</v>
      </c>
      <c r="Q9" s="8" t="n">
        <f aca="false">IFERROR(N9/I9*100,0)</f>
        <v>16.3969634939505</v>
      </c>
      <c r="R9" s="14" t="n">
        <f aca="false">IF(L9&lt;0,2,IF(L9&lt;Assumptions!$B$4,1,0))</f>
        <v>1</v>
      </c>
      <c r="S9" s="14" t="n">
        <f aca="false">IF(O9&gt;Assumptions!$B$6,2,IF(O9&gt;Assumptions!$B$5,1,0))</f>
        <v>2</v>
      </c>
      <c r="T9" s="14" t="n">
        <f aca="false">IF(Q9&gt;Assumptions!$B$8,2,IF(Q9&gt;Assumptions!$B$7,1,0))</f>
        <v>1</v>
      </c>
      <c r="U9" s="14" t="n">
        <f aca="false">R9+S9+T9</f>
        <v>4</v>
      </c>
      <c r="V9" s="15" t="str">
        <f aca="false">IF(U9&gt;=Assumptions!$B$10,"High",IF(U9&gt;=Assumptions!$B$9,"Medium","Low"))</f>
        <v>High</v>
      </c>
    </row>
    <row r="10" customFormat="false" ht="15" hidden="false" customHeight="false" outlineLevel="0" collapsed="false">
      <c r="A10" s="5" t="s">
        <v>66</v>
      </c>
      <c r="B10" s="5" t="s">
        <v>67</v>
      </c>
      <c r="C10" s="5" t="s">
        <v>19</v>
      </c>
      <c r="D10" s="5" t="s">
        <v>54</v>
      </c>
      <c r="E10" s="5" t="n">
        <v>45</v>
      </c>
      <c r="F10" s="5" t="n">
        <v>20</v>
      </c>
      <c r="G10" s="13" t="n">
        <v>13870500</v>
      </c>
      <c r="H10" s="13" t="n">
        <v>2787000</v>
      </c>
      <c r="I10" s="13" t="n">
        <v>11083500</v>
      </c>
      <c r="J10" s="13" t="n">
        <v>1251670</v>
      </c>
      <c r="K10" s="13" t="n">
        <v>-125630</v>
      </c>
      <c r="L10" s="8" t="n">
        <v>-1.1</v>
      </c>
      <c r="M10" s="13" t="n">
        <v>0</v>
      </c>
      <c r="N10" s="13" t="n">
        <v>0</v>
      </c>
      <c r="O10" s="8" t="n">
        <v>6.2</v>
      </c>
      <c r="P10" s="8" t="n">
        <f aca="false">IFERROR(H10/G10*100,0)</f>
        <v>20.0930031361523</v>
      </c>
      <c r="Q10" s="8" t="n">
        <f aca="false">IFERROR(N10/I10*100,0)</f>
        <v>0</v>
      </c>
      <c r="R10" s="14" t="n">
        <f aca="false">IF(L10&lt;0,2,IF(L10&lt;Assumptions!$B$4,1,0))</f>
        <v>2</v>
      </c>
      <c r="S10" s="14" t="n">
        <f aca="false">IF(O10&gt;Assumptions!$B$6,2,IF(O10&gt;Assumptions!$B$5,1,0))</f>
        <v>0</v>
      </c>
      <c r="T10" s="14" t="n">
        <f aca="false">IF(Q10&gt;Assumptions!$B$8,2,IF(Q10&gt;Assumptions!$B$7,1,0))</f>
        <v>0</v>
      </c>
      <c r="U10" s="14" t="n">
        <f aca="false">R10+S10+T10</f>
        <v>2</v>
      </c>
      <c r="V10" s="15" t="str">
        <f aca="false">IF(U10&gt;=Assumptions!$B$10,"High",IF(U10&gt;=Assumptions!$B$9,"Medium","Low"))</f>
        <v>Medium</v>
      </c>
    </row>
    <row r="11" customFormat="false" ht="15" hidden="false" customHeight="false" outlineLevel="0" collapsed="false">
      <c r="A11" s="5" t="s">
        <v>68</v>
      </c>
      <c r="B11" s="5" t="s">
        <v>69</v>
      </c>
      <c r="C11" s="5" t="s">
        <v>19</v>
      </c>
      <c r="D11" s="5" t="s">
        <v>51</v>
      </c>
      <c r="E11" s="5" t="n">
        <v>45</v>
      </c>
      <c r="F11" s="5" t="n">
        <v>25</v>
      </c>
      <c r="G11" s="13" t="n">
        <v>14608200</v>
      </c>
      <c r="H11" s="13" t="n">
        <v>4464570</v>
      </c>
      <c r="I11" s="13" t="n">
        <v>10143630</v>
      </c>
      <c r="J11" s="13" t="n">
        <v>421760</v>
      </c>
      <c r="K11" s="13" t="n">
        <v>-565420</v>
      </c>
      <c r="L11" s="8" t="n">
        <v>-5.6</v>
      </c>
      <c r="M11" s="13" t="n">
        <v>1530220</v>
      </c>
      <c r="N11" s="13" t="n">
        <v>998230</v>
      </c>
      <c r="O11" s="8" t="n">
        <v>61.818181</v>
      </c>
      <c r="P11" s="8" t="n">
        <f aca="false">IFERROR(H11/G11*100,0)</f>
        <v>30.5620815706247</v>
      </c>
      <c r="Q11" s="8" t="n">
        <f aca="false">IFERROR(N11/I11*100,0)</f>
        <v>9.84095437234994</v>
      </c>
      <c r="R11" s="14" t="n">
        <f aca="false">IF(L11&lt;0,2,IF(L11&lt;Assumptions!$B$4,1,0))</f>
        <v>2</v>
      </c>
      <c r="S11" s="14" t="n">
        <f aca="false">IF(O11&gt;Assumptions!$B$6,2,IF(O11&gt;Assumptions!$B$5,1,0))</f>
        <v>2</v>
      </c>
      <c r="T11" s="14" t="n">
        <f aca="false">IF(Q11&gt;Assumptions!$B$8,2,IF(Q11&gt;Assumptions!$B$7,1,0))</f>
        <v>0</v>
      </c>
      <c r="U11" s="14" t="n">
        <f aca="false">R11+S11+T11</f>
        <v>4</v>
      </c>
      <c r="V11" s="15" t="str">
        <f aca="false">IF(U11&gt;=Assumptions!$B$10,"High",IF(U11&gt;=Assumptions!$B$9,"Medium","Low"))</f>
        <v>High</v>
      </c>
    </row>
    <row r="12" customFormat="false" ht="15" hidden="false" customHeight="false" outlineLevel="0" collapsed="false">
      <c r="A12" s="5" t="s">
        <v>70</v>
      </c>
      <c r="B12" s="5" t="s">
        <v>71</v>
      </c>
      <c r="C12" s="5" t="s">
        <v>19</v>
      </c>
      <c r="D12" s="5" t="s">
        <v>54</v>
      </c>
      <c r="E12" s="5" t="n">
        <v>45</v>
      </c>
      <c r="F12" s="5" t="n">
        <v>19</v>
      </c>
      <c r="G12" s="13" t="n">
        <v>12445400</v>
      </c>
      <c r="H12" s="13" t="n">
        <v>3781790</v>
      </c>
      <c r="I12" s="13" t="n">
        <v>8663610</v>
      </c>
      <c r="J12" s="13" t="n">
        <v>66410</v>
      </c>
      <c r="K12" s="13" t="n">
        <v>8320</v>
      </c>
      <c r="L12" s="8" t="n">
        <v>0.1</v>
      </c>
      <c r="M12" s="13" t="n">
        <v>226330</v>
      </c>
      <c r="N12" s="13" t="n">
        <v>226330</v>
      </c>
      <c r="O12" s="8" t="n">
        <v>13.722222</v>
      </c>
      <c r="P12" s="8" t="n">
        <f aca="false">IFERROR(H12/G12*100,0)</f>
        <v>30.3870506371832</v>
      </c>
      <c r="Q12" s="8" t="n">
        <f aca="false">IFERROR(N12/I12*100,0)</f>
        <v>2.6124213809255</v>
      </c>
      <c r="R12" s="14" t="n">
        <f aca="false">IF(L12&lt;0,2,IF(L12&lt;Assumptions!$B$4,1,0))</f>
        <v>1</v>
      </c>
      <c r="S12" s="14" t="n">
        <f aca="false">IF(O12&gt;Assumptions!$B$6,2,IF(O12&gt;Assumptions!$B$5,1,0))</f>
        <v>0</v>
      </c>
      <c r="T12" s="14" t="n">
        <f aca="false">IF(Q12&gt;Assumptions!$B$8,2,IF(Q12&gt;Assumptions!$B$7,1,0))</f>
        <v>0</v>
      </c>
      <c r="U12" s="14" t="n">
        <f aca="false">R12+S12+T12</f>
        <v>1</v>
      </c>
      <c r="V12" s="15" t="str">
        <f aca="false">IF(U12&gt;=Assumptions!$B$10,"High",IF(U12&gt;=Assumptions!$B$9,"Medium","Low"))</f>
        <v>Low</v>
      </c>
    </row>
    <row r="13" customFormat="false" ht="15" hidden="false" customHeight="false" outlineLevel="0" collapsed="false">
      <c r="A13" s="5" t="s">
        <v>72</v>
      </c>
      <c r="B13" s="5" t="s">
        <v>73</v>
      </c>
      <c r="C13" s="5" t="s">
        <v>19</v>
      </c>
      <c r="D13" s="5" t="s">
        <v>48</v>
      </c>
      <c r="E13" s="5" t="n">
        <v>30</v>
      </c>
      <c r="F13" s="5" t="n">
        <v>24</v>
      </c>
      <c r="G13" s="13" t="n">
        <v>13306100</v>
      </c>
      <c r="H13" s="13" t="n">
        <v>4706720</v>
      </c>
      <c r="I13" s="13" t="n">
        <v>8599380</v>
      </c>
      <c r="J13" s="13" t="n">
        <v>760750</v>
      </c>
      <c r="K13" s="13" t="n">
        <v>-2771070</v>
      </c>
      <c r="L13" s="8" t="n">
        <v>-32.2</v>
      </c>
      <c r="M13" s="13" t="n">
        <v>430140</v>
      </c>
      <c r="N13" s="13" t="n">
        <v>430140</v>
      </c>
      <c r="O13" s="8" t="n">
        <v>10.130434</v>
      </c>
      <c r="P13" s="8" t="n">
        <f aca="false">IFERROR(H13/G13*100,0)</f>
        <v>35.3726486348367</v>
      </c>
      <c r="Q13" s="8" t="n">
        <f aca="false">IFERROR(N13/I13*100,0)</f>
        <v>5.00198851545111</v>
      </c>
      <c r="R13" s="14" t="n">
        <f aca="false">IF(L13&lt;0,2,IF(L13&lt;Assumptions!$B$4,1,0))</f>
        <v>2</v>
      </c>
      <c r="S13" s="14" t="n">
        <f aca="false">IF(O13&gt;Assumptions!$B$6,2,IF(O13&gt;Assumptions!$B$5,1,0))</f>
        <v>0</v>
      </c>
      <c r="T13" s="14" t="n">
        <f aca="false">IF(Q13&gt;Assumptions!$B$8,2,IF(Q13&gt;Assumptions!$B$7,1,0))</f>
        <v>0</v>
      </c>
      <c r="U13" s="14" t="n">
        <f aca="false">R13+S13+T13</f>
        <v>2</v>
      </c>
      <c r="V13" s="15" t="str">
        <f aca="false">IF(U13&gt;=Assumptions!$B$10,"High",IF(U13&gt;=Assumptions!$B$9,"Medium","Low"))</f>
        <v>Medium</v>
      </c>
    </row>
    <row r="14" customFormat="false" ht="15" hidden="false" customHeight="false" outlineLevel="0" collapsed="false">
      <c r="A14" s="5" t="s">
        <v>74</v>
      </c>
      <c r="B14" s="5" t="s">
        <v>75</v>
      </c>
      <c r="C14" s="5" t="s">
        <v>19</v>
      </c>
      <c r="D14" s="5" t="s">
        <v>54</v>
      </c>
      <c r="E14" s="5" t="n">
        <v>30</v>
      </c>
      <c r="F14" s="5" t="n">
        <v>21</v>
      </c>
      <c r="G14" s="13" t="n">
        <v>10315500</v>
      </c>
      <c r="H14" s="13" t="n">
        <v>1991930</v>
      </c>
      <c r="I14" s="13" t="n">
        <v>8323570</v>
      </c>
      <c r="J14" s="13" t="n">
        <v>249140</v>
      </c>
      <c r="K14" s="13" t="n">
        <v>1513710</v>
      </c>
      <c r="L14" s="8" t="n">
        <v>18.2</v>
      </c>
      <c r="M14" s="13" t="n">
        <v>1239530</v>
      </c>
      <c r="N14" s="13" t="n">
        <v>1239530</v>
      </c>
      <c r="O14" s="8" t="n">
        <v>13</v>
      </c>
      <c r="P14" s="8" t="n">
        <f aca="false">IFERROR(H14/G14*100,0)</f>
        <v>19.3100673743396</v>
      </c>
      <c r="Q14" s="8" t="n">
        <f aca="false">IFERROR(N14/I14*100,0)</f>
        <v>14.891807241364</v>
      </c>
      <c r="R14" s="14" t="n">
        <f aca="false">IF(L14&lt;0,2,IF(L14&lt;Assumptions!$B$4,1,0))</f>
        <v>0</v>
      </c>
      <c r="S14" s="14" t="n">
        <f aca="false">IF(O14&gt;Assumptions!$B$6,2,IF(O14&gt;Assumptions!$B$5,1,0))</f>
        <v>0</v>
      </c>
      <c r="T14" s="14" t="n">
        <f aca="false">IF(Q14&gt;Assumptions!$B$8,2,IF(Q14&gt;Assumptions!$B$7,1,0))</f>
        <v>1</v>
      </c>
      <c r="U14" s="14" t="n">
        <f aca="false">R14+S14+T14</f>
        <v>1</v>
      </c>
      <c r="V14" s="15" t="str">
        <f aca="false">IF(U14&gt;=Assumptions!$B$10,"High",IF(U14&gt;=Assumptions!$B$9,"Medium","Low"))</f>
        <v>Low</v>
      </c>
    </row>
    <row r="15" customFormat="false" ht="15" hidden="false" customHeight="false" outlineLevel="0" collapsed="false">
      <c r="A15" s="5" t="s">
        <v>76</v>
      </c>
      <c r="B15" s="5" t="s">
        <v>77</v>
      </c>
      <c r="C15" s="5" t="s">
        <v>19</v>
      </c>
      <c r="D15" s="5" t="s">
        <v>51</v>
      </c>
      <c r="E15" s="5" t="n">
        <v>30</v>
      </c>
      <c r="F15" s="5" t="n">
        <v>21</v>
      </c>
      <c r="G15" s="13" t="n">
        <v>8193400</v>
      </c>
      <c r="H15" s="13" t="n">
        <v>870970</v>
      </c>
      <c r="I15" s="13" t="n">
        <v>7322430</v>
      </c>
      <c r="J15" s="13" t="n">
        <v>432130</v>
      </c>
      <c r="K15" s="13" t="n">
        <v>1161640</v>
      </c>
      <c r="L15" s="8" t="n">
        <v>15.9</v>
      </c>
      <c r="M15" s="13" t="n">
        <v>653830</v>
      </c>
      <c r="N15" s="13" t="n">
        <v>653830</v>
      </c>
      <c r="O15" s="8" t="n">
        <v>43.2</v>
      </c>
      <c r="P15" s="8" t="n">
        <f aca="false">IFERROR(H15/G15*100,0)</f>
        <v>10.6301413332682</v>
      </c>
      <c r="Q15" s="8" t="n">
        <f aca="false">IFERROR(N15/I15*100,0)</f>
        <v>8.92913964353364</v>
      </c>
      <c r="R15" s="14" t="n">
        <f aca="false">IF(L15&lt;0,2,IF(L15&lt;Assumptions!$B$4,1,0))</f>
        <v>0</v>
      </c>
      <c r="S15" s="14" t="n">
        <f aca="false">IF(O15&gt;Assumptions!$B$6,2,IF(O15&gt;Assumptions!$B$5,1,0))</f>
        <v>2</v>
      </c>
      <c r="T15" s="14" t="n">
        <f aca="false">IF(Q15&gt;Assumptions!$B$8,2,IF(Q15&gt;Assumptions!$B$7,1,0))</f>
        <v>0</v>
      </c>
      <c r="U15" s="14" t="n">
        <f aca="false">R15+S15+T15</f>
        <v>2</v>
      </c>
      <c r="V15" s="15" t="str">
        <f aca="false">IF(U15&gt;=Assumptions!$B$10,"High",IF(U15&gt;=Assumptions!$B$9,"Medium","Low"))</f>
        <v>Medium</v>
      </c>
    </row>
    <row r="16" customFormat="false" ht="15" hidden="false" customHeight="false" outlineLevel="0" collapsed="false">
      <c r="A16" s="5" t="s">
        <v>78</v>
      </c>
      <c r="B16" s="5" t="s">
        <v>79</v>
      </c>
      <c r="C16" s="5" t="s">
        <v>19</v>
      </c>
      <c r="D16" s="5" t="s">
        <v>57</v>
      </c>
      <c r="E16" s="5" t="n">
        <v>45</v>
      </c>
      <c r="F16" s="5" t="n">
        <v>16</v>
      </c>
      <c r="G16" s="13" t="n">
        <v>8433700</v>
      </c>
      <c r="H16" s="13" t="n">
        <v>1587060</v>
      </c>
      <c r="I16" s="13" t="n">
        <v>6846640</v>
      </c>
      <c r="J16" s="13" t="n">
        <v>131180</v>
      </c>
      <c r="K16" s="13" t="n">
        <v>327740</v>
      </c>
      <c r="L16" s="8" t="n">
        <v>4.8</v>
      </c>
      <c r="M16" s="13" t="n">
        <v>0</v>
      </c>
      <c r="N16" s="13" t="n">
        <v>0</v>
      </c>
      <c r="O16" s="8" t="n">
        <v>8.6875</v>
      </c>
      <c r="P16" s="8" t="n">
        <f aca="false">IFERROR(H16/G16*100,0)</f>
        <v>18.818075103454</v>
      </c>
      <c r="Q16" s="8" t="n">
        <f aca="false">IFERROR(N16/I16*100,0)</f>
        <v>0</v>
      </c>
      <c r="R16" s="14" t="n">
        <f aca="false">IF(L16&lt;0,2,IF(L16&lt;Assumptions!$B$4,1,0))</f>
        <v>1</v>
      </c>
      <c r="S16" s="14" t="n">
        <f aca="false">IF(O16&gt;Assumptions!$B$6,2,IF(O16&gt;Assumptions!$B$5,1,0))</f>
        <v>0</v>
      </c>
      <c r="T16" s="14" t="n">
        <f aca="false">IF(Q16&gt;Assumptions!$B$8,2,IF(Q16&gt;Assumptions!$B$7,1,0))</f>
        <v>0</v>
      </c>
      <c r="U16" s="14" t="n">
        <f aca="false">R16+S16+T16</f>
        <v>1</v>
      </c>
      <c r="V16" s="15" t="str">
        <f aca="false">IF(U16&gt;=Assumptions!$B$10,"High",IF(U16&gt;=Assumptions!$B$9,"Medium","Low"))</f>
        <v>Low</v>
      </c>
    </row>
    <row r="17" customFormat="false" ht="15" hidden="false" customHeight="false" outlineLevel="0" collapsed="false">
      <c r="A17" s="5" t="s">
        <v>80</v>
      </c>
      <c r="B17" s="5" t="s">
        <v>81</v>
      </c>
      <c r="C17" s="5" t="s">
        <v>19</v>
      </c>
      <c r="D17" s="5" t="s">
        <v>51</v>
      </c>
      <c r="E17" s="5" t="n">
        <v>45</v>
      </c>
      <c r="F17" s="5" t="n">
        <v>16</v>
      </c>
      <c r="G17" s="13" t="n">
        <v>6880900</v>
      </c>
      <c r="H17" s="13" t="n">
        <v>843690</v>
      </c>
      <c r="I17" s="13" t="n">
        <v>6037210</v>
      </c>
      <c r="J17" s="13" t="n">
        <v>0</v>
      </c>
      <c r="K17" s="13" t="n">
        <v>835790</v>
      </c>
      <c r="L17" s="8" t="n">
        <v>13.8</v>
      </c>
      <c r="M17" s="13" t="n">
        <v>832610</v>
      </c>
      <c r="N17" s="13" t="n">
        <v>646550</v>
      </c>
      <c r="O17" s="8" t="n">
        <v>9.857142</v>
      </c>
      <c r="P17" s="8" t="n">
        <f aca="false">IFERROR(H17/G17*100,0)</f>
        <v>12.2613320931855</v>
      </c>
      <c r="Q17" s="8" t="n">
        <f aca="false">IFERROR(N17/I17*100,0)</f>
        <v>10.7094170982954</v>
      </c>
      <c r="R17" s="14" t="n">
        <f aca="false">IF(L17&lt;0,2,IF(L17&lt;Assumptions!$B$4,1,0))</f>
        <v>0</v>
      </c>
      <c r="S17" s="14" t="n">
        <f aca="false">IF(O17&gt;Assumptions!$B$6,2,IF(O17&gt;Assumptions!$B$5,1,0))</f>
        <v>0</v>
      </c>
      <c r="T17" s="14" t="n">
        <f aca="false">IF(Q17&gt;Assumptions!$B$8,2,IF(Q17&gt;Assumptions!$B$7,1,0))</f>
        <v>1</v>
      </c>
      <c r="U17" s="14" t="n">
        <f aca="false">R17+S17+T17</f>
        <v>1</v>
      </c>
      <c r="V17" s="15" t="str">
        <f aca="false">IF(U17&gt;=Assumptions!$B$10,"High",IF(U17&gt;=Assumptions!$B$9,"Medium","Low"))</f>
        <v>Low</v>
      </c>
    </row>
    <row r="18" customFormat="false" ht="15" hidden="false" customHeight="false" outlineLevel="0" collapsed="false">
      <c r="A18" s="5" t="s">
        <v>82</v>
      </c>
      <c r="B18" s="5" t="s">
        <v>83</v>
      </c>
      <c r="C18" s="5" t="s">
        <v>19</v>
      </c>
      <c r="D18" s="5" t="s">
        <v>54</v>
      </c>
      <c r="E18" s="5" t="n">
        <v>30</v>
      </c>
      <c r="F18" s="5" t="n">
        <v>16</v>
      </c>
      <c r="G18" s="13" t="n">
        <v>7528900</v>
      </c>
      <c r="H18" s="13" t="n">
        <v>1628060</v>
      </c>
      <c r="I18" s="13" t="n">
        <v>5900840</v>
      </c>
      <c r="J18" s="13" t="n">
        <v>57210</v>
      </c>
      <c r="K18" s="13" t="n">
        <v>458190</v>
      </c>
      <c r="L18" s="8" t="n">
        <v>7.8</v>
      </c>
      <c r="M18" s="13" t="n">
        <v>0</v>
      </c>
      <c r="N18" s="13" t="n">
        <v>0</v>
      </c>
      <c r="O18" s="8" t="n">
        <v>12.3125</v>
      </c>
      <c r="P18" s="8" t="n">
        <f aca="false">IFERROR(H18/G18*100,0)</f>
        <v>21.6241416408772</v>
      </c>
      <c r="Q18" s="8" t="n">
        <f aca="false">IFERROR(N18/I18*100,0)</f>
        <v>0</v>
      </c>
      <c r="R18" s="14" t="n">
        <f aca="false">IF(L18&lt;0,2,IF(L18&lt;Assumptions!$B$4,1,0))</f>
        <v>0</v>
      </c>
      <c r="S18" s="14" t="n">
        <f aca="false">IF(O18&gt;Assumptions!$B$6,2,IF(O18&gt;Assumptions!$B$5,1,0))</f>
        <v>0</v>
      </c>
      <c r="T18" s="14" t="n">
        <f aca="false">IF(Q18&gt;Assumptions!$B$8,2,IF(Q18&gt;Assumptions!$B$7,1,0))</f>
        <v>0</v>
      </c>
      <c r="U18" s="14" t="n">
        <f aca="false">R18+S18+T18</f>
        <v>0</v>
      </c>
      <c r="V18" s="15" t="str">
        <f aca="false">IF(U18&gt;=Assumptions!$B$10,"High",IF(U18&gt;=Assumptions!$B$9,"Medium","Low"))</f>
        <v>Low</v>
      </c>
    </row>
    <row r="19" customFormat="false" ht="15" hidden="false" customHeight="false" outlineLevel="0" collapsed="false">
      <c r="A19" s="5" t="s">
        <v>84</v>
      </c>
      <c r="B19" s="5" t="s">
        <v>85</v>
      </c>
      <c r="C19" s="5" t="s">
        <v>19</v>
      </c>
      <c r="D19" s="5" t="s">
        <v>86</v>
      </c>
      <c r="E19" s="5" t="n">
        <v>30</v>
      </c>
      <c r="F19" s="5" t="n">
        <v>19</v>
      </c>
      <c r="G19" s="13" t="n">
        <v>8617800</v>
      </c>
      <c r="H19" s="13" t="n">
        <v>2882890</v>
      </c>
      <c r="I19" s="13" t="n">
        <v>5734910</v>
      </c>
      <c r="J19" s="13" t="n">
        <v>113960</v>
      </c>
      <c r="K19" s="13" t="n">
        <v>-266530</v>
      </c>
      <c r="L19" s="8" t="n">
        <v>-4.6</v>
      </c>
      <c r="M19" s="13" t="n">
        <v>419770</v>
      </c>
      <c r="N19" s="13" t="n">
        <v>419770</v>
      </c>
      <c r="O19" s="8" t="n">
        <v>4.166666</v>
      </c>
      <c r="P19" s="8" t="n">
        <f aca="false">IFERROR(H19/G19*100,0)</f>
        <v>33.4527373575623</v>
      </c>
      <c r="Q19" s="8" t="n">
        <f aca="false">IFERROR(N19/I19*100,0)</f>
        <v>7.3195568892973</v>
      </c>
      <c r="R19" s="14" t="n">
        <f aca="false">IF(L19&lt;0,2,IF(L19&lt;Assumptions!$B$4,1,0))</f>
        <v>2</v>
      </c>
      <c r="S19" s="14" t="n">
        <f aca="false">IF(O19&gt;Assumptions!$B$6,2,IF(O19&gt;Assumptions!$B$5,1,0))</f>
        <v>0</v>
      </c>
      <c r="T19" s="14" t="n">
        <f aca="false">IF(Q19&gt;Assumptions!$B$8,2,IF(Q19&gt;Assumptions!$B$7,1,0))</f>
        <v>0</v>
      </c>
      <c r="U19" s="14" t="n">
        <f aca="false">R19+S19+T19</f>
        <v>2</v>
      </c>
      <c r="V19" s="15" t="str">
        <f aca="false">IF(U19&gt;=Assumptions!$B$10,"High",IF(U19&gt;=Assumptions!$B$9,"Medium","Low"))</f>
        <v>Medium</v>
      </c>
    </row>
    <row r="20" customFormat="false" ht="15" hidden="false" customHeight="false" outlineLevel="0" collapsed="false">
      <c r="A20" s="5" t="s">
        <v>87</v>
      </c>
      <c r="B20" s="5" t="s">
        <v>88</v>
      </c>
      <c r="C20" s="5" t="s">
        <v>20</v>
      </c>
      <c r="D20" s="5" t="s">
        <v>54</v>
      </c>
      <c r="E20" s="5" t="n">
        <v>30</v>
      </c>
      <c r="F20" s="5" t="n">
        <v>18</v>
      </c>
      <c r="G20" s="13" t="n">
        <v>6664800</v>
      </c>
      <c r="H20" s="13" t="n">
        <v>1088940</v>
      </c>
      <c r="I20" s="13" t="n">
        <v>5575860</v>
      </c>
      <c r="J20" s="13" t="n">
        <v>0</v>
      </c>
      <c r="K20" s="13" t="n">
        <v>382210</v>
      </c>
      <c r="L20" s="8" t="n">
        <v>6.9</v>
      </c>
      <c r="M20" s="13" t="n">
        <v>1874330</v>
      </c>
      <c r="N20" s="13" t="n">
        <v>1874330</v>
      </c>
      <c r="O20" s="8" t="n">
        <v>65.857142</v>
      </c>
      <c r="P20" s="8" t="n">
        <f aca="false">IFERROR(H20/G20*100,0)</f>
        <v>16.3386748289521</v>
      </c>
      <c r="Q20" s="8" t="n">
        <f aca="false">IFERROR(N20/I20*100,0)</f>
        <v>33.6150835924862</v>
      </c>
      <c r="R20" s="14" t="n">
        <f aca="false">IF(L20&lt;0,2,IF(L20&lt;Assumptions!$B$4,1,0))</f>
        <v>0</v>
      </c>
      <c r="S20" s="14" t="n">
        <f aca="false">IF(O20&gt;Assumptions!$B$6,2,IF(O20&gt;Assumptions!$B$5,1,0))</f>
        <v>2</v>
      </c>
      <c r="T20" s="14" t="n">
        <f aca="false">IF(Q20&gt;Assumptions!$B$8,2,IF(Q20&gt;Assumptions!$B$7,1,0))</f>
        <v>2</v>
      </c>
      <c r="U20" s="14" t="n">
        <f aca="false">R20+S20+T20</f>
        <v>4</v>
      </c>
      <c r="V20" s="15" t="str">
        <f aca="false">IF(U20&gt;=Assumptions!$B$10,"High",IF(U20&gt;=Assumptions!$B$9,"Medium","Low"))</f>
        <v>High</v>
      </c>
    </row>
    <row r="21" customFormat="false" ht="15" hidden="false" customHeight="false" outlineLevel="0" collapsed="false">
      <c r="A21" s="5" t="s">
        <v>89</v>
      </c>
      <c r="B21" s="5" t="s">
        <v>90</v>
      </c>
      <c r="C21" s="5" t="s">
        <v>20</v>
      </c>
      <c r="D21" s="5" t="s">
        <v>54</v>
      </c>
      <c r="E21" s="5" t="n">
        <v>30</v>
      </c>
      <c r="F21" s="5" t="n">
        <v>15</v>
      </c>
      <c r="G21" s="13" t="n">
        <v>6097400</v>
      </c>
      <c r="H21" s="13" t="n">
        <v>850190</v>
      </c>
      <c r="I21" s="13" t="n">
        <v>5247210</v>
      </c>
      <c r="J21" s="13" t="n">
        <v>678370</v>
      </c>
      <c r="K21" s="13" t="n">
        <v>191640</v>
      </c>
      <c r="L21" s="8" t="n">
        <v>3.7</v>
      </c>
      <c r="M21" s="13" t="n">
        <v>0</v>
      </c>
      <c r="N21" s="13" t="n">
        <v>0</v>
      </c>
      <c r="O21" s="8" t="n">
        <v>1.133333</v>
      </c>
      <c r="P21" s="8" t="n">
        <f aca="false">IFERROR(H21/G21*100,0)</f>
        <v>13.9434841079805</v>
      </c>
      <c r="Q21" s="8" t="n">
        <f aca="false">IFERROR(N21/I21*100,0)</f>
        <v>0</v>
      </c>
      <c r="R21" s="14" t="n">
        <f aca="false">IF(L21&lt;0,2,IF(L21&lt;Assumptions!$B$4,1,0))</f>
        <v>1</v>
      </c>
      <c r="S21" s="14" t="n">
        <f aca="false">IF(O21&gt;Assumptions!$B$6,2,IF(O21&gt;Assumptions!$B$5,1,0))</f>
        <v>0</v>
      </c>
      <c r="T21" s="14" t="n">
        <f aca="false">IF(Q21&gt;Assumptions!$B$8,2,IF(Q21&gt;Assumptions!$B$7,1,0))</f>
        <v>0</v>
      </c>
      <c r="U21" s="14" t="n">
        <f aca="false">R21+S21+T21</f>
        <v>1</v>
      </c>
      <c r="V21" s="15" t="str">
        <f aca="false">IF(U21&gt;=Assumptions!$B$10,"High",IF(U21&gt;=Assumptions!$B$9,"Medium","Low"))</f>
        <v>Low</v>
      </c>
    </row>
    <row r="22" customFormat="false" ht="15" hidden="false" customHeight="false" outlineLevel="0" collapsed="false">
      <c r="A22" s="5" t="s">
        <v>91</v>
      </c>
      <c r="B22" s="5" t="s">
        <v>92</v>
      </c>
      <c r="C22" s="5" t="s">
        <v>20</v>
      </c>
      <c r="D22" s="5" t="s">
        <v>93</v>
      </c>
      <c r="E22" s="5" t="n">
        <v>30</v>
      </c>
      <c r="F22" s="5" t="n">
        <v>19</v>
      </c>
      <c r="G22" s="13" t="n">
        <v>5872300</v>
      </c>
      <c r="H22" s="13" t="n">
        <v>955580</v>
      </c>
      <c r="I22" s="13" t="n">
        <v>4916720</v>
      </c>
      <c r="J22" s="13" t="n">
        <v>57270</v>
      </c>
      <c r="K22" s="13" t="n">
        <v>366650</v>
      </c>
      <c r="L22" s="8" t="n">
        <v>7.5</v>
      </c>
      <c r="M22" s="13" t="n">
        <v>715350</v>
      </c>
      <c r="N22" s="13" t="n">
        <v>715350</v>
      </c>
      <c r="O22" s="8" t="n">
        <v>21</v>
      </c>
      <c r="P22" s="8" t="n">
        <f aca="false">IFERROR(H22/G22*100,0)</f>
        <v>16.2726699930181</v>
      </c>
      <c r="Q22" s="8" t="n">
        <f aca="false">IFERROR(N22/I22*100,0)</f>
        <v>14.5493337021429</v>
      </c>
      <c r="R22" s="14" t="n">
        <f aca="false">IF(L22&lt;0,2,IF(L22&lt;Assumptions!$B$4,1,0))</f>
        <v>0</v>
      </c>
      <c r="S22" s="14" t="n">
        <f aca="false">IF(O22&gt;Assumptions!$B$6,2,IF(O22&gt;Assumptions!$B$5,1,0))</f>
        <v>1</v>
      </c>
      <c r="T22" s="14" t="n">
        <f aca="false">IF(Q22&gt;Assumptions!$B$8,2,IF(Q22&gt;Assumptions!$B$7,1,0))</f>
        <v>1</v>
      </c>
      <c r="U22" s="14" t="n">
        <f aca="false">R22+S22+T22</f>
        <v>2</v>
      </c>
      <c r="V22" s="15" t="str">
        <f aca="false">IF(U22&gt;=Assumptions!$B$10,"High",IF(U22&gt;=Assumptions!$B$9,"Medium","Low"))</f>
        <v>Medium</v>
      </c>
    </row>
    <row r="23" customFormat="false" ht="15" hidden="false" customHeight="false" outlineLevel="0" collapsed="false">
      <c r="A23" s="5" t="s">
        <v>94</v>
      </c>
      <c r="B23" s="5" t="s">
        <v>95</v>
      </c>
      <c r="C23" s="5" t="s">
        <v>20</v>
      </c>
      <c r="D23" s="5" t="s">
        <v>54</v>
      </c>
      <c r="E23" s="5" t="n">
        <v>30</v>
      </c>
      <c r="F23" s="5" t="n">
        <v>18</v>
      </c>
      <c r="G23" s="13" t="n">
        <v>4808300</v>
      </c>
      <c r="H23" s="13" t="n">
        <v>87150</v>
      </c>
      <c r="I23" s="13" t="n">
        <v>4721150</v>
      </c>
      <c r="J23" s="13" t="n">
        <v>292770</v>
      </c>
      <c r="K23" s="13" t="n">
        <v>1203110</v>
      </c>
      <c r="L23" s="8" t="n">
        <v>25.5</v>
      </c>
      <c r="M23" s="13" t="n">
        <v>1495090</v>
      </c>
      <c r="N23" s="13" t="n">
        <v>1495090</v>
      </c>
      <c r="O23" s="8" t="n">
        <v>11.846153</v>
      </c>
      <c r="P23" s="8" t="n">
        <f aca="false">IFERROR(H23/G23*100,0)</f>
        <v>1.81249090115009</v>
      </c>
      <c r="Q23" s="8" t="n">
        <f aca="false">IFERROR(N23/I23*100,0)</f>
        <v>31.6679198923991</v>
      </c>
      <c r="R23" s="14" t="n">
        <f aca="false">IF(L23&lt;0,2,IF(L23&lt;Assumptions!$B$4,1,0))</f>
        <v>0</v>
      </c>
      <c r="S23" s="14" t="n">
        <f aca="false">IF(O23&gt;Assumptions!$B$6,2,IF(O23&gt;Assumptions!$B$5,1,0))</f>
        <v>0</v>
      </c>
      <c r="T23" s="14" t="n">
        <f aca="false">IF(Q23&gt;Assumptions!$B$8,2,IF(Q23&gt;Assumptions!$B$7,1,0))</f>
        <v>2</v>
      </c>
      <c r="U23" s="14" t="n">
        <f aca="false">R23+S23+T23</f>
        <v>2</v>
      </c>
      <c r="V23" s="15" t="str">
        <f aca="false">IF(U23&gt;=Assumptions!$B$10,"High",IF(U23&gt;=Assumptions!$B$9,"Medium","Low"))</f>
        <v>Medium</v>
      </c>
    </row>
    <row r="24" customFormat="false" ht="15" hidden="false" customHeight="false" outlineLevel="0" collapsed="false">
      <c r="A24" s="5" t="s">
        <v>96</v>
      </c>
      <c r="B24" s="5" t="s">
        <v>97</v>
      </c>
      <c r="C24" s="5" t="s">
        <v>20</v>
      </c>
      <c r="D24" s="5" t="s">
        <v>51</v>
      </c>
      <c r="E24" s="5" t="n">
        <v>14</v>
      </c>
      <c r="F24" s="5" t="n">
        <v>17</v>
      </c>
      <c r="G24" s="13" t="n">
        <v>7065200</v>
      </c>
      <c r="H24" s="13" t="n">
        <v>2480200</v>
      </c>
      <c r="I24" s="13" t="n">
        <v>4585000</v>
      </c>
      <c r="J24" s="13" t="n">
        <v>531600</v>
      </c>
      <c r="K24" s="13" t="n">
        <v>-1727320</v>
      </c>
      <c r="L24" s="8" t="n">
        <v>-37.7</v>
      </c>
      <c r="M24" s="13" t="n">
        <v>208620</v>
      </c>
      <c r="N24" s="13" t="n">
        <v>208620</v>
      </c>
      <c r="O24" s="8" t="n">
        <v>12.0625</v>
      </c>
      <c r="P24" s="8" t="n">
        <f aca="false">IFERROR(H24/G24*100,0)</f>
        <v>35.104455641737</v>
      </c>
      <c r="Q24" s="8" t="n">
        <f aca="false">IFERROR(N24/I24*100,0)</f>
        <v>4.55005452562704</v>
      </c>
      <c r="R24" s="14" t="n">
        <f aca="false">IF(L24&lt;0,2,IF(L24&lt;Assumptions!$B$4,1,0))</f>
        <v>2</v>
      </c>
      <c r="S24" s="14" t="n">
        <f aca="false">IF(O24&gt;Assumptions!$B$6,2,IF(O24&gt;Assumptions!$B$5,1,0))</f>
        <v>0</v>
      </c>
      <c r="T24" s="14" t="n">
        <f aca="false">IF(Q24&gt;Assumptions!$B$8,2,IF(Q24&gt;Assumptions!$B$7,1,0))</f>
        <v>0</v>
      </c>
      <c r="U24" s="14" t="n">
        <f aca="false">R24+S24+T24</f>
        <v>2</v>
      </c>
      <c r="V24" s="15" t="str">
        <f aca="false">IF(U24&gt;=Assumptions!$B$10,"High",IF(U24&gt;=Assumptions!$B$9,"Medium","Low"))</f>
        <v>Medium</v>
      </c>
    </row>
    <row r="25" customFormat="false" ht="15" hidden="false" customHeight="false" outlineLevel="0" collapsed="false">
      <c r="A25" s="5" t="s">
        <v>98</v>
      </c>
      <c r="B25" s="5" t="s">
        <v>99</v>
      </c>
      <c r="C25" s="5" t="s">
        <v>19</v>
      </c>
      <c r="D25" s="5" t="s">
        <v>48</v>
      </c>
      <c r="E25" s="5" t="n">
        <v>30</v>
      </c>
      <c r="F25" s="5" t="n">
        <v>15</v>
      </c>
      <c r="G25" s="13" t="n">
        <v>5330700</v>
      </c>
      <c r="H25" s="13" t="n">
        <v>849150</v>
      </c>
      <c r="I25" s="13" t="n">
        <v>4481550</v>
      </c>
      <c r="J25" s="13" t="n">
        <v>225030</v>
      </c>
      <c r="K25" s="13" t="n">
        <v>69340</v>
      </c>
      <c r="L25" s="8" t="n">
        <v>1.5</v>
      </c>
      <c r="M25" s="13" t="n">
        <v>321850</v>
      </c>
      <c r="N25" s="13" t="n">
        <v>321850</v>
      </c>
      <c r="O25" s="8" t="n">
        <v>6.923076</v>
      </c>
      <c r="P25" s="8" t="n">
        <f aca="false">IFERROR(H25/G25*100,0)</f>
        <v>15.9294276549046</v>
      </c>
      <c r="Q25" s="8" t="n">
        <f aca="false">IFERROR(N25/I25*100,0)</f>
        <v>7.18166705715656</v>
      </c>
      <c r="R25" s="14" t="n">
        <f aca="false">IF(L25&lt;0,2,IF(L25&lt;Assumptions!$B$4,1,0))</f>
        <v>1</v>
      </c>
      <c r="S25" s="14" t="n">
        <f aca="false">IF(O25&gt;Assumptions!$B$6,2,IF(O25&gt;Assumptions!$B$5,1,0))</f>
        <v>0</v>
      </c>
      <c r="T25" s="14" t="n">
        <f aca="false">IF(Q25&gt;Assumptions!$B$8,2,IF(Q25&gt;Assumptions!$B$7,1,0))</f>
        <v>0</v>
      </c>
      <c r="U25" s="14" t="n">
        <f aca="false">R25+S25+T25</f>
        <v>1</v>
      </c>
      <c r="V25" s="15" t="str">
        <f aca="false">IF(U25&gt;=Assumptions!$B$10,"High",IF(U25&gt;=Assumptions!$B$9,"Medium","Low"))</f>
        <v>Low</v>
      </c>
    </row>
    <row r="26" customFormat="false" ht="15" hidden="false" customHeight="false" outlineLevel="0" collapsed="false">
      <c r="A26" s="5" t="s">
        <v>100</v>
      </c>
      <c r="B26" s="5" t="s">
        <v>101</v>
      </c>
      <c r="C26" s="5" t="s">
        <v>20</v>
      </c>
      <c r="D26" s="5" t="s">
        <v>51</v>
      </c>
      <c r="E26" s="5" t="n">
        <v>30</v>
      </c>
      <c r="F26" s="5" t="n">
        <v>15</v>
      </c>
      <c r="G26" s="13" t="n">
        <v>5156500</v>
      </c>
      <c r="H26" s="13" t="n">
        <v>704870</v>
      </c>
      <c r="I26" s="13" t="n">
        <v>4451630</v>
      </c>
      <c r="J26" s="13" t="n">
        <v>0</v>
      </c>
      <c r="K26" s="13" t="n">
        <v>274380</v>
      </c>
      <c r="L26" s="8" t="n">
        <v>6.2</v>
      </c>
      <c r="M26" s="13" t="n">
        <v>125260</v>
      </c>
      <c r="N26" s="13" t="n">
        <v>125260</v>
      </c>
      <c r="O26" s="8" t="n">
        <v>58.071428</v>
      </c>
      <c r="P26" s="8" t="n">
        <f aca="false">IFERROR(H26/G26*100,0)</f>
        <v>13.6695432948706</v>
      </c>
      <c r="Q26" s="8" t="n">
        <f aca="false">IFERROR(N26/I26*100,0)</f>
        <v>2.81380078757669</v>
      </c>
      <c r="R26" s="14" t="n">
        <f aca="false">IF(L26&lt;0,2,IF(L26&lt;Assumptions!$B$4,1,0))</f>
        <v>0</v>
      </c>
      <c r="S26" s="14" t="n">
        <f aca="false">IF(O26&gt;Assumptions!$B$6,2,IF(O26&gt;Assumptions!$B$5,1,0))</f>
        <v>2</v>
      </c>
      <c r="T26" s="14" t="n">
        <f aca="false">IF(Q26&gt;Assumptions!$B$8,2,IF(Q26&gt;Assumptions!$B$7,1,0))</f>
        <v>0</v>
      </c>
      <c r="U26" s="14" t="n">
        <f aca="false">R26+S26+T26</f>
        <v>2</v>
      </c>
      <c r="V26" s="15" t="str">
        <f aca="false">IF(U26&gt;=Assumptions!$B$10,"High",IF(U26&gt;=Assumptions!$B$9,"Medium","Low"))</f>
        <v>Medium</v>
      </c>
    </row>
    <row r="27" customFormat="false" ht="15" hidden="false" customHeight="false" outlineLevel="0" collapsed="false">
      <c r="A27" s="5" t="s">
        <v>102</v>
      </c>
      <c r="B27" s="5" t="s">
        <v>103</v>
      </c>
      <c r="C27" s="5" t="s">
        <v>20</v>
      </c>
      <c r="D27" s="5" t="s">
        <v>54</v>
      </c>
      <c r="E27" s="5" t="n">
        <v>14</v>
      </c>
      <c r="F27" s="5" t="n">
        <v>15</v>
      </c>
      <c r="G27" s="13" t="n">
        <v>6101400</v>
      </c>
      <c r="H27" s="13" t="n">
        <v>1651150</v>
      </c>
      <c r="I27" s="13" t="n">
        <v>4450250</v>
      </c>
      <c r="J27" s="13" t="n">
        <v>0</v>
      </c>
      <c r="K27" s="13" t="n">
        <v>-506220</v>
      </c>
      <c r="L27" s="8" t="n">
        <v>-11.4</v>
      </c>
      <c r="M27" s="13" t="n">
        <v>283150</v>
      </c>
      <c r="N27" s="13" t="n">
        <v>283150</v>
      </c>
      <c r="O27" s="8" t="n">
        <v>14.066666</v>
      </c>
      <c r="P27" s="8" t="n">
        <f aca="false">IFERROR(H27/G27*100,0)</f>
        <v>27.0618218769463</v>
      </c>
      <c r="Q27" s="8" t="n">
        <f aca="false">IFERROR(N27/I27*100,0)</f>
        <v>6.36256390090444</v>
      </c>
      <c r="R27" s="14" t="n">
        <f aca="false">IF(L27&lt;0,2,IF(L27&lt;Assumptions!$B$4,1,0))</f>
        <v>2</v>
      </c>
      <c r="S27" s="14" t="n">
        <f aca="false">IF(O27&gt;Assumptions!$B$6,2,IF(O27&gt;Assumptions!$B$5,1,0))</f>
        <v>0</v>
      </c>
      <c r="T27" s="14" t="n">
        <f aca="false">IF(Q27&gt;Assumptions!$B$8,2,IF(Q27&gt;Assumptions!$B$7,1,0))</f>
        <v>0</v>
      </c>
      <c r="U27" s="14" t="n">
        <f aca="false">R27+S27+T27</f>
        <v>2</v>
      </c>
      <c r="V27" s="15" t="str">
        <f aca="false">IF(U27&gt;=Assumptions!$B$10,"High",IF(U27&gt;=Assumptions!$B$9,"Medium","Low"))</f>
        <v>Medium</v>
      </c>
    </row>
    <row r="28" customFormat="false" ht="15" hidden="false" customHeight="false" outlineLevel="0" collapsed="false">
      <c r="A28" s="5" t="s">
        <v>104</v>
      </c>
      <c r="B28" s="5" t="s">
        <v>105</v>
      </c>
      <c r="C28" s="5" t="s">
        <v>20</v>
      </c>
      <c r="D28" s="5" t="s">
        <v>86</v>
      </c>
      <c r="E28" s="5" t="n">
        <v>14</v>
      </c>
      <c r="F28" s="5" t="n">
        <v>15</v>
      </c>
      <c r="G28" s="13" t="n">
        <v>5928800</v>
      </c>
      <c r="H28" s="13" t="n">
        <v>1511960</v>
      </c>
      <c r="I28" s="13" t="n">
        <v>4416840</v>
      </c>
      <c r="J28" s="13" t="n">
        <v>0</v>
      </c>
      <c r="K28" s="13" t="n">
        <v>201910</v>
      </c>
      <c r="L28" s="8" t="n">
        <v>4.6</v>
      </c>
      <c r="M28" s="13" t="n">
        <v>576100</v>
      </c>
      <c r="N28" s="13" t="n">
        <v>576100</v>
      </c>
      <c r="O28" s="8" t="n">
        <v>8.230769</v>
      </c>
      <c r="P28" s="8" t="n">
        <f aca="false">IFERROR(H28/G28*100,0)</f>
        <v>25.5019565510727</v>
      </c>
      <c r="Q28" s="8" t="n">
        <f aca="false">IFERROR(N28/I28*100,0)</f>
        <v>13.0432616984088</v>
      </c>
      <c r="R28" s="14" t="n">
        <f aca="false">IF(L28&lt;0,2,IF(L28&lt;Assumptions!$B$4,1,0))</f>
        <v>1</v>
      </c>
      <c r="S28" s="14" t="n">
        <f aca="false">IF(O28&gt;Assumptions!$B$6,2,IF(O28&gt;Assumptions!$B$5,1,0))</f>
        <v>0</v>
      </c>
      <c r="T28" s="14" t="n">
        <f aca="false">IF(Q28&gt;Assumptions!$B$8,2,IF(Q28&gt;Assumptions!$B$7,1,0))</f>
        <v>1</v>
      </c>
      <c r="U28" s="14" t="n">
        <f aca="false">R28+S28+T28</f>
        <v>2</v>
      </c>
      <c r="V28" s="15" t="str">
        <f aca="false">IF(U28&gt;=Assumptions!$B$10,"High",IF(U28&gt;=Assumptions!$B$9,"Medium","Low"))</f>
        <v>Medium</v>
      </c>
    </row>
    <row r="29" customFormat="false" ht="15" hidden="false" customHeight="false" outlineLevel="0" collapsed="false">
      <c r="A29" s="5" t="s">
        <v>106</v>
      </c>
      <c r="B29" s="5" t="s">
        <v>107</v>
      </c>
      <c r="C29" s="5" t="s">
        <v>19</v>
      </c>
      <c r="D29" s="5" t="s">
        <v>54</v>
      </c>
      <c r="E29" s="5" t="n">
        <v>30</v>
      </c>
      <c r="F29" s="5" t="n">
        <v>14</v>
      </c>
      <c r="G29" s="13" t="n">
        <v>6582800</v>
      </c>
      <c r="H29" s="13" t="n">
        <v>2219040</v>
      </c>
      <c r="I29" s="13" t="n">
        <v>4363760</v>
      </c>
      <c r="J29" s="13" t="n">
        <v>86510</v>
      </c>
      <c r="K29" s="13" t="n">
        <v>-778770</v>
      </c>
      <c r="L29" s="8" t="n">
        <v>-17.8</v>
      </c>
      <c r="M29" s="13" t="n">
        <v>652330</v>
      </c>
      <c r="N29" s="13" t="n">
        <v>652330</v>
      </c>
      <c r="O29" s="8" t="n">
        <v>8.5</v>
      </c>
      <c r="P29" s="8" t="n">
        <f aca="false">IFERROR(H29/G29*100,0)</f>
        <v>33.7096676186425</v>
      </c>
      <c r="Q29" s="8" t="n">
        <f aca="false">IFERROR(N29/I29*100,0)</f>
        <v>14.9488056171742</v>
      </c>
      <c r="R29" s="14" t="n">
        <f aca="false">IF(L29&lt;0,2,IF(L29&lt;Assumptions!$B$4,1,0))</f>
        <v>2</v>
      </c>
      <c r="S29" s="14" t="n">
        <f aca="false">IF(O29&gt;Assumptions!$B$6,2,IF(O29&gt;Assumptions!$B$5,1,0))</f>
        <v>0</v>
      </c>
      <c r="T29" s="14" t="n">
        <f aca="false">IF(Q29&gt;Assumptions!$B$8,2,IF(Q29&gt;Assumptions!$B$7,1,0))</f>
        <v>1</v>
      </c>
      <c r="U29" s="14" t="n">
        <f aca="false">R29+S29+T29</f>
        <v>3</v>
      </c>
      <c r="V29" s="15" t="str">
        <f aca="false">IF(U29&gt;=Assumptions!$B$10,"High",IF(U29&gt;=Assumptions!$B$9,"Medium","Low"))</f>
        <v>Medium</v>
      </c>
    </row>
    <row r="30" customFormat="false" ht="15" hidden="false" customHeight="false" outlineLevel="0" collapsed="false">
      <c r="A30" s="5" t="s">
        <v>108</v>
      </c>
      <c r="B30" s="5" t="s">
        <v>109</v>
      </c>
      <c r="C30" s="5" t="s">
        <v>20</v>
      </c>
      <c r="D30" s="5" t="s">
        <v>54</v>
      </c>
      <c r="E30" s="5" t="n">
        <v>30</v>
      </c>
      <c r="F30" s="5" t="n">
        <v>15</v>
      </c>
      <c r="G30" s="13" t="n">
        <v>4521200</v>
      </c>
      <c r="H30" s="13" t="n">
        <v>359660</v>
      </c>
      <c r="I30" s="13" t="n">
        <v>4161540</v>
      </c>
      <c r="J30" s="13" t="n">
        <v>0</v>
      </c>
      <c r="K30" s="13" t="n">
        <v>1248540</v>
      </c>
      <c r="L30" s="8" t="n">
        <v>30</v>
      </c>
      <c r="M30" s="13" t="n">
        <v>1185840</v>
      </c>
      <c r="N30" s="13" t="n">
        <v>1185840</v>
      </c>
      <c r="O30" s="8" t="n">
        <v>27.7</v>
      </c>
      <c r="P30" s="8" t="n">
        <f aca="false">IFERROR(H30/G30*100,0)</f>
        <v>7.95496770768823</v>
      </c>
      <c r="Q30" s="8" t="n">
        <f aca="false">IFERROR(N30/I30*100,0)</f>
        <v>28.495220519327</v>
      </c>
      <c r="R30" s="14" t="n">
        <f aca="false">IF(L30&lt;0,2,IF(L30&lt;Assumptions!$B$4,1,0))</f>
        <v>0</v>
      </c>
      <c r="S30" s="14" t="n">
        <f aca="false">IF(O30&gt;Assumptions!$B$6,2,IF(O30&gt;Assumptions!$B$5,1,0))</f>
        <v>1</v>
      </c>
      <c r="T30" s="14" t="n">
        <f aca="false">IF(Q30&gt;Assumptions!$B$8,2,IF(Q30&gt;Assumptions!$B$7,1,0))</f>
        <v>2</v>
      </c>
      <c r="U30" s="14" t="n">
        <f aca="false">R30+S30+T30</f>
        <v>3</v>
      </c>
      <c r="V30" s="15" t="str">
        <f aca="false">IF(U30&gt;=Assumptions!$B$10,"High",IF(U30&gt;=Assumptions!$B$9,"Medium","Low"))</f>
        <v>Medium</v>
      </c>
    </row>
    <row r="31" customFormat="false" ht="15" hidden="false" customHeight="false" outlineLevel="0" collapsed="false">
      <c r="A31" s="5" t="s">
        <v>110</v>
      </c>
      <c r="B31" s="5" t="s">
        <v>111</v>
      </c>
      <c r="C31" s="5" t="s">
        <v>20</v>
      </c>
      <c r="D31" s="5" t="s">
        <v>54</v>
      </c>
      <c r="E31" s="5" t="n">
        <v>30</v>
      </c>
      <c r="F31" s="5" t="n">
        <v>15</v>
      </c>
      <c r="G31" s="13" t="n">
        <v>4846100</v>
      </c>
      <c r="H31" s="13" t="n">
        <v>767240</v>
      </c>
      <c r="I31" s="13" t="n">
        <v>4078860</v>
      </c>
      <c r="J31" s="13" t="n">
        <v>227410</v>
      </c>
      <c r="K31" s="13" t="n">
        <v>254580</v>
      </c>
      <c r="L31" s="8" t="n">
        <v>6.2</v>
      </c>
      <c r="M31" s="13" t="n">
        <v>1466530</v>
      </c>
      <c r="N31" s="13" t="n">
        <v>1466530</v>
      </c>
      <c r="O31" s="8" t="n">
        <v>23</v>
      </c>
      <c r="P31" s="8" t="n">
        <f aca="false">IFERROR(H31/G31*100,0)</f>
        <v>15.8321124202967</v>
      </c>
      <c r="Q31" s="8" t="n">
        <f aca="false">IFERROR(N31/I31*100,0)</f>
        <v>35.9544088299182</v>
      </c>
      <c r="R31" s="14" t="n">
        <f aca="false">IF(L31&lt;0,2,IF(L31&lt;Assumptions!$B$4,1,0))</f>
        <v>0</v>
      </c>
      <c r="S31" s="14" t="n">
        <f aca="false">IF(O31&gt;Assumptions!$B$6,2,IF(O31&gt;Assumptions!$B$5,1,0))</f>
        <v>1</v>
      </c>
      <c r="T31" s="14" t="n">
        <f aca="false">IF(Q31&gt;Assumptions!$B$8,2,IF(Q31&gt;Assumptions!$B$7,1,0))</f>
        <v>2</v>
      </c>
      <c r="U31" s="14" t="n">
        <f aca="false">R31+S31+T31</f>
        <v>3</v>
      </c>
      <c r="V31" s="15" t="str">
        <f aca="false">IF(U31&gt;=Assumptions!$B$10,"High",IF(U31&gt;=Assumptions!$B$9,"Medium","Low"))</f>
        <v>Medium</v>
      </c>
    </row>
    <row r="32" customFormat="false" ht="15" hidden="false" customHeight="false" outlineLevel="0" collapsed="false">
      <c r="A32" s="5" t="s">
        <v>112</v>
      </c>
      <c r="B32" s="5" t="s">
        <v>113</v>
      </c>
      <c r="C32" s="5" t="s">
        <v>20</v>
      </c>
      <c r="D32" s="5" t="s">
        <v>93</v>
      </c>
      <c r="E32" s="5" t="n">
        <v>14</v>
      </c>
      <c r="F32" s="5" t="n">
        <v>9</v>
      </c>
      <c r="G32" s="13" t="n">
        <v>4812600</v>
      </c>
      <c r="H32" s="13" t="n">
        <v>777970</v>
      </c>
      <c r="I32" s="13" t="n">
        <v>4034630</v>
      </c>
      <c r="J32" s="13" t="n">
        <v>482220</v>
      </c>
      <c r="K32" s="13" t="n">
        <v>-76660</v>
      </c>
      <c r="L32" s="8" t="n">
        <v>-1.9</v>
      </c>
      <c r="M32" s="13" t="n">
        <v>194850</v>
      </c>
      <c r="N32" s="13" t="n">
        <v>194850</v>
      </c>
      <c r="O32" s="8" t="n">
        <v>10.25</v>
      </c>
      <c r="P32" s="8" t="n">
        <f aca="false">IFERROR(H32/G32*100,0)</f>
        <v>16.1652744878029</v>
      </c>
      <c r="Q32" s="8" t="n">
        <f aca="false">IFERROR(N32/I32*100,0)</f>
        <v>4.82943913072574</v>
      </c>
      <c r="R32" s="14" t="n">
        <f aca="false">IF(L32&lt;0,2,IF(L32&lt;Assumptions!$B$4,1,0))</f>
        <v>2</v>
      </c>
      <c r="S32" s="14" t="n">
        <f aca="false">IF(O32&gt;Assumptions!$B$6,2,IF(O32&gt;Assumptions!$B$5,1,0))</f>
        <v>0</v>
      </c>
      <c r="T32" s="14" t="n">
        <f aca="false">IF(Q32&gt;Assumptions!$B$8,2,IF(Q32&gt;Assumptions!$B$7,1,0))</f>
        <v>0</v>
      </c>
      <c r="U32" s="14" t="n">
        <f aca="false">R32+S32+T32</f>
        <v>2</v>
      </c>
      <c r="V32" s="15" t="str">
        <f aca="false">IF(U32&gt;=Assumptions!$B$10,"High",IF(U32&gt;=Assumptions!$B$9,"Medium","Low"))</f>
        <v>Medium</v>
      </c>
    </row>
    <row r="33" customFormat="false" ht="15" hidden="false" customHeight="false" outlineLevel="0" collapsed="false">
      <c r="A33" s="5" t="s">
        <v>114</v>
      </c>
      <c r="B33" s="5" t="s">
        <v>115</v>
      </c>
      <c r="C33" s="5" t="s">
        <v>20</v>
      </c>
      <c r="D33" s="5" t="s">
        <v>86</v>
      </c>
      <c r="E33" s="5" t="n">
        <v>30</v>
      </c>
      <c r="F33" s="5" t="n">
        <v>19</v>
      </c>
      <c r="G33" s="13" t="n">
        <v>4462400</v>
      </c>
      <c r="H33" s="13" t="n">
        <v>505300</v>
      </c>
      <c r="I33" s="13" t="n">
        <v>3957100</v>
      </c>
      <c r="J33" s="13" t="n">
        <v>231860</v>
      </c>
      <c r="K33" s="13" t="n">
        <v>338780</v>
      </c>
      <c r="L33" s="8" t="n">
        <v>8.6</v>
      </c>
      <c r="M33" s="13" t="n">
        <v>58440</v>
      </c>
      <c r="N33" s="13" t="n">
        <v>58440</v>
      </c>
      <c r="O33" s="8" t="n">
        <v>1.421052</v>
      </c>
      <c r="P33" s="8" t="n">
        <f aca="false">IFERROR(H33/G33*100,0)</f>
        <v>11.3235030476873</v>
      </c>
      <c r="Q33" s="8" t="n">
        <f aca="false">IFERROR(N33/I33*100,0)</f>
        <v>1.47683909934043</v>
      </c>
      <c r="R33" s="14" t="n">
        <f aca="false">IF(L33&lt;0,2,IF(L33&lt;Assumptions!$B$4,1,0))</f>
        <v>0</v>
      </c>
      <c r="S33" s="14" t="n">
        <f aca="false">IF(O33&gt;Assumptions!$B$6,2,IF(O33&gt;Assumptions!$B$5,1,0))</f>
        <v>0</v>
      </c>
      <c r="T33" s="14" t="n">
        <f aca="false">IF(Q33&gt;Assumptions!$B$8,2,IF(Q33&gt;Assumptions!$B$7,1,0))</f>
        <v>0</v>
      </c>
      <c r="U33" s="14" t="n">
        <f aca="false">R33+S33+T33</f>
        <v>0</v>
      </c>
      <c r="V33" s="15" t="str">
        <f aca="false">IF(U33&gt;=Assumptions!$B$10,"High",IF(U33&gt;=Assumptions!$B$9,"Medium","Low"))</f>
        <v>Low</v>
      </c>
    </row>
    <row r="34" customFormat="false" ht="15" hidden="false" customHeight="false" outlineLevel="0" collapsed="false">
      <c r="A34" s="5" t="s">
        <v>116</v>
      </c>
      <c r="B34" s="5" t="s">
        <v>117</v>
      </c>
      <c r="C34" s="5" t="s">
        <v>19</v>
      </c>
      <c r="D34" s="5" t="s">
        <v>86</v>
      </c>
      <c r="E34" s="5" t="n">
        <v>45</v>
      </c>
      <c r="F34" s="5" t="n">
        <v>20</v>
      </c>
      <c r="G34" s="13" t="n">
        <v>6293000</v>
      </c>
      <c r="H34" s="13" t="n">
        <v>2372990</v>
      </c>
      <c r="I34" s="13" t="n">
        <v>3920010</v>
      </c>
      <c r="J34" s="13" t="n">
        <v>563680</v>
      </c>
      <c r="K34" s="13" t="n">
        <v>-776750</v>
      </c>
      <c r="L34" s="8" t="n">
        <v>-19.8</v>
      </c>
      <c r="M34" s="13" t="n">
        <v>583040</v>
      </c>
      <c r="N34" s="13" t="n">
        <v>48140</v>
      </c>
      <c r="O34" s="8" t="n">
        <v>3.588235</v>
      </c>
      <c r="P34" s="8" t="n">
        <f aca="false">IFERROR(H34/G34*100,0)</f>
        <v>37.7084061655808</v>
      </c>
      <c r="Q34" s="8" t="n">
        <f aca="false">IFERROR(N34/I34*100,0)</f>
        <v>1.22805809168854</v>
      </c>
      <c r="R34" s="14" t="n">
        <f aca="false">IF(L34&lt;0,2,IF(L34&lt;Assumptions!$B$4,1,0))</f>
        <v>2</v>
      </c>
      <c r="S34" s="14" t="n">
        <f aca="false">IF(O34&gt;Assumptions!$B$6,2,IF(O34&gt;Assumptions!$B$5,1,0))</f>
        <v>0</v>
      </c>
      <c r="T34" s="14" t="n">
        <f aca="false">IF(Q34&gt;Assumptions!$B$8,2,IF(Q34&gt;Assumptions!$B$7,1,0))</f>
        <v>0</v>
      </c>
      <c r="U34" s="14" t="n">
        <f aca="false">R34+S34+T34</f>
        <v>2</v>
      </c>
      <c r="V34" s="15" t="str">
        <f aca="false">IF(U34&gt;=Assumptions!$B$10,"High",IF(U34&gt;=Assumptions!$B$9,"Medium","Low"))</f>
        <v>Medium</v>
      </c>
    </row>
    <row r="35" customFormat="false" ht="15" hidden="false" customHeight="false" outlineLevel="0" collapsed="false">
      <c r="A35" s="5" t="s">
        <v>118</v>
      </c>
      <c r="B35" s="5" t="s">
        <v>119</v>
      </c>
      <c r="C35" s="5" t="s">
        <v>20</v>
      </c>
      <c r="D35" s="5" t="s">
        <v>51</v>
      </c>
      <c r="E35" s="5" t="n">
        <v>30</v>
      </c>
      <c r="F35" s="5" t="n">
        <v>11</v>
      </c>
      <c r="G35" s="13" t="n">
        <v>4157500</v>
      </c>
      <c r="H35" s="13" t="n">
        <v>549160</v>
      </c>
      <c r="I35" s="13" t="n">
        <v>3608340</v>
      </c>
      <c r="J35" s="13" t="n">
        <v>443090</v>
      </c>
      <c r="K35" s="13" t="n">
        <v>542490</v>
      </c>
      <c r="L35" s="8" t="n">
        <v>15</v>
      </c>
      <c r="M35" s="13" t="n">
        <v>1202360</v>
      </c>
      <c r="N35" s="13" t="n">
        <v>1202360</v>
      </c>
      <c r="O35" s="8" t="n">
        <v>9.666666</v>
      </c>
      <c r="P35" s="8" t="n">
        <f aca="false">IFERROR(H35/G35*100,0)</f>
        <v>13.208899579074</v>
      </c>
      <c r="Q35" s="8" t="n">
        <f aca="false">IFERROR(N35/I35*100,0)</f>
        <v>33.3216936319748</v>
      </c>
      <c r="R35" s="14" t="n">
        <f aca="false">IF(L35&lt;0,2,IF(L35&lt;Assumptions!$B$4,1,0))</f>
        <v>0</v>
      </c>
      <c r="S35" s="14" t="n">
        <f aca="false">IF(O35&gt;Assumptions!$B$6,2,IF(O35&gt;Assumptions!$B$5,1,0))</f>
        <v>0</v>
      </c>
      <c r="T35" s="14" t="n">
        <f aca="false">IF(Q35&gt;Assumptions!$B$8,2,IF(Q35&gt;Assumptions!$B$7,1,0))</f>
        <v>2</v>
      </c>
      <c r="U35" s="14" t="n">
        <f aca="false">R35+S35+T35</f>
        <v>2</v>
      </c>
      <c r="V35" s="15" t="str">
        <f aca="false">IF(U35&gt;=Assumptions!$B$10,"High",IF(U35&gt;=Assumptions!$B$9,"Medium","Low"))</f>
        <v>Medium</v>
      </c>
    </row>
    <row r="36" customFormat="false" ht="15" hidden="false" customHeight="false" outlineLevel="0" collapsed="false">
      <c r="A36" s="5" t="s">
        <v>120</v>
      </c>
      <c r="B36" s="5" t="s">
        <v>121</v>
      </c>
      <c r="C36" s="5" t="s">
        <v>20</v>
      </c>
      <c r="D36" s="5" t="s">
        <v>54</v>
      </c>
      <c r="E36" s="5" t="n">
        <v>30</v>
      </c>
      <c r="F36" s="5" t="n">
        <v>10</v>
      </c>
      <c r="G36" s="13" t="n">
        <v>3724800</v>
      </c>
      <c r="H36" s="13" t="n">
        <v>208060</v>
      </c>
      <c r="I36" s="13" t="n">
        <v>3516740</v>
      </c>
      <c r="J36" s="13" t="n">
        <v>0</v>
      </c>
      <c r="K36" s="13" t="n">
        <v>1120860</v>
      </c>
      <c r="L36" s="8" t="n">
        <v>31.9</v>
      </c>
      <c r="M36" s="13" t="n">
        <v>296430</v>
      </c>
      <c r="N36" s="13" t="n">
        <v>296430</v>
      </c>
      <c r="O36" s="8" t="n">
        <v>6.666666</v>
      </c>
      <c r="P36" s="8" t="n">
        <f aca="false">IFERROR(H36/G36*100,0)</f>
        <v>5.58580326460481</v>
      </c>
      <c r="Q36" s="8" t="n">
        <f aca="false">IFERROR(N36/I36*100,0)</f>
        <v>8.42911332654674</v>
      </c>
      <c r="R36" s="14" t="n">
        <f aca="false">IF(L36&lt;0,2,IF(L36&lt;Assumptions!$B$4,1,0))</f>
        <v>0</v>
      </c>
      <c r="S36" s="14" t="n">
        <f aca="false">IF(O36&gt;Assumptions!$B$6,2,IF(O36&gt;Assumptions!$B$5,1,0))</f>
        <v>0</v>
      </c>
      <c r="T36" s="14" t="n">
        <f aca="false">IF(Q36&gt;Assumptions!$B$8,2,IF(Q36&gt;Assumptions!$B$7,1,0))</f>
        <v>0</v>
      </c>
      <c r="U36" s="14" t="n">
        <f aca="false">R36+S36+T36</f>
        <v>0</v>
      </c>
      <c r="V36" s="15" t="str">
        <f aca="false">IF(U36&gt;=Assumptions!$B$10,"High",IF(U36&gt;=Assumptions!$B$9,"Medium","Low"))</f>
        <v>Low</v>
      </c>
    </row>
    <row r="37" customFormat="false" ht="15" hidden="false" customHeight="false" outlineLevel="0" collapsed="false">
      <c r="A37" s="5" t="s">
        <v>122</v>
      </c>
      <c r="B37" s="5" t="s">
        <v>123</v>
      </c>
      <c r="C37" s="5" t="s">
        <v>20</v>
      </c>
      <c r="D37" s="5" t="s">
        <v>54</v>
      </c>
      <c r="E37" s="5" t="n">
        <v>30</v>
      </c>
      <c r="F37" s="5" t="n">
        <v>16</v>
      </c>
      <c r="G37" s="13" t="n">
        <v>4720000</v>
      </c>
      <c r="H37" s="13" t="n">
        <v>1249310</v>
      </c>
      <c r="I37" s="13" t="n">
        <v>3470690</v>
      </c>
      <c r="J37" s="13" t="n">
        <v>234350</v>
      </c>
      <c r="K37" s="13" t="n">
        <v>221410</v>
      </c>
      <c r="L37" s="8" t="n">
        <v>6.4</v>
      </c>
      <c r="M37" s="13" t="n">
        <v>259130</v>
      </c>
      <c r="N37" s="13" t="n">
        <v>259130</v>
      </c>
      <c r="O37" s="8" t="n">
        <v>12.6</v>
      </c>
      <c r="P37" s="8" t="n">
        <f aca="false">IFERROR(H37/G37*100,0)</f>
        <v>26.4684322033898</v>
      </c>
      <c r="Q37" s="8" t="n">
        <f aca="false">IFERROR(N37/I37*100,0)</f>
        <v>7.46623870181434</v>
      </c>
      <c r="R37" s="14" t="n">
        <f aca="false">IF(L37&lt;0,2,IF(L37&lt;Assumptions!$B$4,1,0))</f>
        <v>0</v>
      </c>
      <c r="S37" s="14" t="n">
        <f aca="false">IF(O37&gt;Assumptions!$B$6,2,IF(O37&gt;Assumptions!$B$5,1,0))</f>
        <v>0</v>
      </c>
      <c r="T37" s="14" t="n">
        <f aca="false">IF(Q37&gt;Assumptions!$B$8,2,IF(Q37&gt;Assumptions!$B$7,1,0))</f>
        <v>0</v>
      </c>
      <c r="U37" s="14" t="n">
        <f aca="false">R37+S37+T37</f>
        <v>0</v>
      </c>
      <c r="V37" s="15" t="str">
        <f aca="false">IF(U37&gt;=Assumptions!$B$10,"High",IF(U37&gt;=Assumptions!$B$9,"Medium","Low"))</f>
        <v>Low</v>
      </c>
    </row>
    <row r="38" customFormat="false" ht="15" hidden="false" customHeight="false" outlineLevel="0" collapsed="false">
      <c r="A38" s="5" t="s">
        <v>124</v>
      </c>
      <c r="B38" s="5" t="s">
        <v>125</v>
      </c>
      <c r="C38" s="5" t="s">
        <v>20</v>
      </c>
      <c r="D38" s="5" t="s">
        <v>54</v>
      </c>
      <c r="E38" s="5" t="n">
        <v>30</v>
      </c>
      <c r="F38" s="5" t="n">
        <v>12</v>
      </c>
      <c r="G38" s="13" t="n">
        <v>4245600</v>
      </c>
      <c r="H38" s="13" t="n">
        <v>775070</v>
      </c>
      <c r="I38" s="13" t="n">
        <v>3470530</v>
      </c>
      <c r="J38" s="13" t="n">
        <v>876490</v>
      </c>
      <c r="K38" s="13" t="n">
        <v>-790780</v>
      </c>
      <c r="L38" s="8" t="n">
        <v>-22.8</v>
      </c>
      <c r="M38" s="13" t="n">
        <v>120120</v>
      </c>
      <c r="N38" s="13" t="n">
        <v>120120</v>
      </c>
      <c r="O38" s="8" t="n">
        <v>8.363636</v>
      </c>
      <c r="P38" s="8" t="n">
        <f aca="false">IFERROR(H38/G38*100,0)</f>
        <v>18.2558413416243</v>
      </c>
      <c r="Q38" s="8" t="n">
        <f aca="false">IFERROR(N38/I38*100,0)</f>
        <v>3.46114282256601</v>
      </c>
      <c r="R38" s="14" t="n">
        <f aca="false">IF(L38&lt;0,2,IF(L38&lt;Assumptions!$B$4,1,0))</f>
        <v>2</v>
      </c>
      <c r="S38" s="14" t="n">
        <f aca="false">IF(O38&gt;Assumptions!$B$6,2,IF(O38&gt;Assumptions!$B$5,1,0))</f>
        <v>0</v>
      </c>
      <c r="T38" s="14" t="n">
        <f aca="false">IF(Q38&gt;Assumptions!$B$8,2,IF(Q38&gt;Assumptions!$B$7,1,0))</f>
        <v>0</v>
      </c>
      <c r="U38" s="14" t="n">
        <f aca="false">R38+S38+T38</f>
        <v>2</v>
      </c>
      <c r="V38" s="15" t="str">
        <f aca="false">IF(U38&gt;=Assumptions!$B$10,"High",IF(U38&gt;=Assumptions!$B$9,"Medium","Low"))</f>
        <v>Medium</v>
      </c>
    </row>
    <row r="39" customFormat="false" ht="15" hidden="false" customHeight="false" outlineLevel="0" collapsed="false">
      <c r="A39" s="5" t="s">
        <v>126</v>
      </c>
      <c r="B39" s="5" t="s">
        <v>127</v>
      </c>
      <c r="C39" s="5" t="s">
        <v>20</v>
      </c>
      <c r="D39" s="5" t="s">
        <v>51</v>
      </c>
      <c r="E39" s="5" t="n">
        <v>30</v>
      </c>
      <c r="F39" s="5" t="n">
        <v>13</v>
      </c>
      <c r="G39" s="13" t="n">
        <v>4257000</v>
      </c>
      <c r="H39" s="13" t="n">
        <v>864000</v>
      </c>
      <c r="I39" s="13" t="n">
        <v>3393000</v>
      </c>
      <c r="J39" s="13" t="n">
        <v>144370</v>
      </c>
      <c r="K39" s="13" t="n">
        <v>341910</v>
      </c>
      <c r="L39" s="8" t="n">
        <v>10.1</v>
      </c>
      <c r="M39" s="13" t="n">
        <v>0</v>
      </c>
      <c r="N39" s="13" t="n">
        <v>0</v>
      </c>
      <c r="O39" s="8" t="n">
        <v>5.846153</v>
      </c>
      <c r="P39" s="8" t="n">
        <f aca="false">IFERROR(H39/G39*100,0)</f>
        <v>20.2959830866808</v>
      </c>
      <c r="Q39" s="8" t="n">
        <f aca="false">IFERROR(N39/I39*100,0)</f>
        <v>0</v>
      </c>
      <c r="R39" s="14" t="n">
        <f aca="false">IF(L39&lt;0,2,IF(L39&lt;Assumptions!$B$4,1,0))</f>
        <v>0</v>
      </c>
      <c r="S39" s="14" t="n">
        <f aca="false">IF(O39&gt;Assumptions!$B$6,2,IF(O39&gt;Assumptions!$B$5,1,0))</f>
        <v>0</v>
      </c>
      <c r="T39" s="14" t="n">
        <f aca="false">IF(Q39&gt;Assumptions!$B$8,2,IF(Q39&gt;Assumptions!$B$7,1,0))</f>
        <v>0</v>
      </c>
      <c r="U39" s="14" t="n">
        <f aca="false">R39+S39+T39</f>
        <v>0</v>
      </c>
      <c r="V39" s="15" t="str">
        <f aca="false">IF(U39&gt;=Assumptions!$B$10,"High",IF(U39&gt;=Assumptions!$B$9,"Medium","Low"))</f>
        <v>Low</v>
      </c>
    </row>
    <row r="40" customFormat="false" ht="15" hidden="false" customHeight="false" outlineLevel="0" collapsed="false">
      <c r="A40" s="5" t="s">
        <v>128</v>
      </c>
      <c r="B40" s="5" t="s">
        <v>129</v>
      </c>
      <c r="C40" s="5" t="s">
        <v>20</v>
      </c>
      <c r="D40" s="5" t="s">
        <v>86</v>
      </c>
      <c r="E40" s="5" t="n">
        <v>14</v>
      </c>
      <c r="F40" s="5" t="n">
        <v>17</v>
      </c>
      <c r="G40" s="13" t="n">
        <v>4759600</v>
      </c>
      <c r="H40" s="13" t="n">
        <v>1433940</v>
      </c>
      <c r="I40" s="13" t="n">
        <v>3325660</v>
      </c>
      <c r="J40" s="13" t="n">
        <v>0</v>
      </c>
      <c r="K40" s="13" t="n">
        <v>147670</v>
      </c>
      <c r="L40" s="8" t="n">
        <v>4.4</v>
      </c>
      <c r="M40" s="13" t="n">
        <v>18840</v>
      </c>
      <c r="N40" s="13" t="n">
        <v>18840</v>
      </c>
      <c r="O40" s="8" t="n">
        <v>8.470588</v>
      </c>
      <c r="P40" s="8" t="n">
        <f aca="false">IFERROR(H40/G40*100,0)</f>
        <v>30.1273216236659</v>
      </c>
      <c r="Q40" s="8" t="n">
        <f aca="false">IFERROR(N40/I40*100,0)</f>
        <v>0.566504092420753</v>
      </c>
      <c r="R40" s="14" t="n">
        <f aca="false">IF(L40&lt;0,2,IF(L40&lt;Assumptions!$B$4,1,0))</f>
        <v>1</v>
      </c>
      <c r="S40" s="14" t="n">
        <f aca="false">IF(O40&gt;Assumptions!$B$6,2,IF(O40&gt;Assumptions!$B$5,1,0))</f>
        <v>0</v>
      </c>
      <c r="T40" s="14" t="n">
        <f aca="false">IF(Q40&gt;Assumptions!$B$8,2,IF(Q40&gt;Assumptions!$B$7,1,0))</f>
        <v>0</v>
      </c>
      <c r="U40" s="14" t="n">
        <f aca="false">R40+S40+T40</f>
        <v>1</v>
      </c>
      <c r="V40" s="15" t="str">
        <f aca="false">IF(U40&gt;=Assumptions!$B$10,"High",IF(U40&gt;=Assumptions!$B$9,"Medium","Low"))</f>
        <v>Low</v>
      </c>
    </row>
    <row r="41" customFormat="false" ht="15" hidden="false" customHeight="false" outlineLevel="0" collapsed="false">
      <c r="A41" s="5" t="s">
        <v>130</v>
      </c>
      <c r="B41" s="5" t="s">
        <v>131</v>
      </c>
      <c r="C41" s="5" t="s">
        <v>20</v>
      </c>
      <c r="D41" s="5" t="s">
        <v>54</v>
      </c>
      <c r="E41" s="5" t="n">
        <v>14</v>
      </c>
      <c r="F41" s="5" t="n">
        <v>15</v>
      </c>
      <c r="G41" s="13" t="n">
        <v>3937100</v>
      </c>
      <c r="H41" s="13" t="n">
        <v>783140</v>
      </c>
      <c r="I41" s="13" t="n">
        <v>3153960</v>
      </c>
      <c r="J41" s="13" t="n">
        <v>0</v>
      </c>
      <c r="K41" s="13" t="n">
        <v>315430</v>
      </c>
      <c r="L41" s="8" t="n">
        <v>10</v>
      </c>
      <c r="M41" s="13" t="n">
        <v>0</v>
      </c>
      <c r="N41" s="13" t="n">
        <v>0</v>
      </c>
      <c r="O41" s="8" t="n">
        <v>54.066666</v>
      </c>
      <c r="P41" s="8" t="n">
        <f aca="false">IFERROR(H41/G41*100,0)</f>
        <v>19.8912905438013</v>
      </c>
      <c r="Q41" s="8" t="n">
        <f aca="false">IFERROR(N41/I41*100,0)</f>
        <v>0</v>
      </c>
      <c r="R41" s="14" t="n">
        <f aca="false">IF(L41&lt;0,2,IF(L41&lt;Assumptions!$B$4,1,0))</f>
        <v>0</v>
      </c>
      <c r="S41" s="14" t="n">
        <f aca="false">IF(O41&gt;Assumptions!$B$6,2,IF(O41&gt;Assumptions!$B$5,1,0))</f>
        <v>2</v>
      </c>
      <c r="T41" s="14" t="n">
        <f aca="false">IF(Q41&gt;Assumptions!$B$8,2,IF(Q41&gt;Assumptions!$B$7,1,0))</f>
        <v>0</v>
      </c>
      <c r="U41" s="14" t="n">
        <f aca="false">R41+S41+T41</f>
        <v>2</v>
      </c>
      <c r="V41" s="15" t="str">
        <f aca="false">IF(U41&gt;=Assumptions!$B$10,"High",IF(U41&gt;=Assumptions!$B$9,"Medium","Low"))</f>
        <v>Medium</v>
      </c>
    </row>
    <row r="42" customFormat="false" ht="15" hidden="false" customHeight="false" outlineLevel="0" collapsed="false">
      <c r="A42" s="5" t="s">
        <v>132</v>
      </c>
      <c r="B42" s="5" t="s">
        <v>133</v>
      </c>
      <c r="C42" s="5" t="s">
        <v>20</v>
      </c>
      <c r="D42" s="5" t="s">
        <v>54</v>
      </c>
      <c r="E42" s="5" t="n">
        <v>30</v>
      </c>
      <c r="F42" s="5" t="n">
        <v>17</v>
      </c>
      <c r="G42" s="13" t="n">
        <v>4049100</v>
      </c>
      <c r="H42" s="13" t="n">
        <v>903830</v>
      </c>
      <c r="I42" s="13" t="n">
        <v>3145270</v>
      </c>
      <c r="J42" s="13" t="n">
        <v>161460</v>
      </c>
      <c r="K42" s="13" t="n">
        <v>-304170</v>
      </c>
      <c r="L42" s="8" t="n">
        <v>-9.7</v>
      </c>
      <c r="M42" s="13" t="n">
        <v>181690</v>
      </c>
      <c r="N42" s="13" t="n">
        <v>181690</v>
      </c>
      <c r="O42" s="8" t="n">
        <v>6.9375</v>
      </c>
      <c r="P42" s="8" t="n">
        <f aca="false">IFERROR(H42/G42*100,0)</f>
        <v>22.3217505124596</v>
      </c>
      <c r="Q42" s="8" t="n">
        <f aca="false">IFERROR(N42/I42*100,0)</f>
        <v>5.77661059304925</v>
      </c>
      <c r="R42" s="14" t="n">
        <f aca="false">IF(L42&lt;0,2,IF(L42&lt;Assumptions!$B$4,1,0))</f>
        <v>2</v>
      </c>
      <c r="S42" s="14" t="n">
        <f aca="false">IF(O42&gt;Assumptions!$B$6,2,IF(O42&gt;Assumptions!$B$5,1,0))</f>
        <v>0</v>
      </c>
      <c r="T42" s="14" t="n">
        <f aca="false">IF(Q42&gt;Assumptions!$B$8,2,IF(Q42&gt;Assumptions!$B$7,1,0))</f>
        <v>0</v>
      </c>
      <c r="U42" s="14" t="n">
        <f aca="false">R42+S42+T42</f>
        <v>2</v>
      </c>
      <c r="V42" s="15" t="str">
        <f aca="false">IF(U42&gt;=Assumptions!$B$10,"High",IF(U42&gt;=Assumptions!$B$9,"Medium","Low"))</f>
        <v>Medium</v>
      </c>
    </row>
    <row r="43" customFormat="false" ht="15" hidden="false" customHeight="false" outlineLevel="0" collapsed="false">
      <c r="A43" s="5" t="s">
        <v>134</v>
      </c>
      <c r="B43" s="5" t="s">
        <v>135</v>
      </c>
      <c r="C43" s="5" t="s">
        <v>20</v>
      </c>
      <c r="D43" s="5" t="s">
        <v>54</v>
      </c>
      <c r="E43" s="5" t="n">
        <v>30</v>
      </c>
      <c r="F43" s="5" t="n">
        <v>11</v>
      </c>
      <c r="G43" s="13" t="n">
        <v>3784600</v>
      </c>
      <c r="H43" s="13" t="n">
        <v>675860</v>
      </c>
      <c r="I43" s="13" t="n">
        <v>3108740</v>
      </c>
      <c r="J43" s="13" t="n">
        <v>306920</v>
      </c>
      <c r="K43" s="13" t="n">
        <v>-103570</v>
      </c>
      <c r="L43" s="8" t="n">
        <v>-3.3</v>
      </c>
      <c r="M43" s="13" t="n">
        <v>91860</v>
      </c>
      <c r="N43" s="13" t="n">
        <v>91860</v>
      </c>
      <c r="O43" s="8" t="n">
        <v>-2.454545</v>
      </c>
      <c r="P43" s="8" t="n">
        <f aca="false">IFERROR(H43/G43*100,0)</f>
        <v>17.8581620250489</v>
      </c>
      <c r="Q43" s="8" t="n">
        <f aca="false">IFERROR(N43/I43*100,0)</f>
        <v>2.95489490919151</v>
      </c>
      <c r="R43" s="14" t="n">
        <f aca="false">IF(L43&lt;0,2,IF(L43&lt;Assumptions!$B$4,1,0))</f>
        <v>2</v>
      </c>
      <c r="S43" s="14" t="n">
        <f aca="false">IF(O43&gt;Assumptions!$B$6,2,IF(O43&gt;Assumptions!$B$5,1,0))</f>
        <v>0</v>
      </c>
      <c r="T43" s="14" t="n">
        <f aca="false">IF(Q43&gt;Assumptions!$B$8,2,IF(Q43&gt;Assumptions!$B$7,1,0))</f>
        <v>0</v>
      </c>
      <c r="U43" s="14" t="n">
        <f aca="false">R43+S43+T43</f>
        <v>2</v>
      </c>
      <c r="V43" s="15" t="str">
        <f aca="false">IF(U43&gt;=Assumptions!$B$10,"High",IF(U43&gt;=Assumptions!$B$9,"Medium","Low"))</f>
        <v>Medium</v>
      </c>
    </row>
    <row r="44" customFormat="false" ht="15" hidden="false" customHeight="false" outlineLevel="0" collapsed="false">
      <c r="A44" s="5" t="s">
        <v>136</v>
      </c>
      <c r="B44" s="5" t="s">
        <v>137</v>
      </c>
      <c r="C44" s="5" t="s">
        <v>20</v>
      </c>
      <c r="D44" s="5" t="s">
        <v>54</v>
      </c>
      <c r="E44" s="5" t="n">
        <v>30</v>
      </c>
      <c r="F44" s="5" t="n">
        <v>17</v>
      </c>
      <c r="G44" s="13" t="n">
        <v>4685200</v>
      </c>
      <c r="H44" s="13" t="n">
        <v>1639890</v>
      </c>
      <c r="I44" s="13" t="n">
        <v>3045310</v>
      </c>
      <c r="J44" s="13" t="n">
        <v>71160</v>
      </c>
      <c r="K44" s="13" t="n">
        <v>-434000</v>
      </c>
      <c r="L44" s="8" t="n">
        <v>-14.3</v>
      </c>
      <c r="M44" s="13" t="n">
        <v>368100</v>
      </c>
      <c r="N44" s="13" t="n">
        <v>368100</v>
      </c>
      <c r="O44" s="8" t="n">
        <v>15.1875</v>
      </c>
      <c r="P44" s="8" t="n">
        <f aca="false">IFERROR(H44/G44*100,0)</f>
        <v>35.0014940664219</v>
      </c>
      <c r="Q44" s="8" t="n">
        <f aca="false">IFERROR(N44/I44*100,0)</f>
        <v>12.0874393739882</v>
      </c>
      <c r="R44" s="14" t="n">
        <f aca="false">IF(L44&lt;0,2,IF(L44&lt;Assumptions!$B$4,1,0))</f>
        <v>2</v>
      </c>
      <c r="S44" s="14" t="n">
        <f aca="false">IF(O44&gt;Assumptions!$B$6,2,IF(O44&gt;Assumptions!$B$5,1,0))</f>
        <v>1</v>
      </c>
      <c r="T44" s="14" t="n">
        <f aca="false">IF(Q44&gt;Assumptions!$B$8,2,IF(Q44&gt;Assumptions!$B$7,1,0))</f>
        <v>1</v>
      </c>
      <c r="U44" s="14" t="n">
        <f aca="false">R44+S44+T44</f>
        <v>4</v>
      </c>
      <c r="V44" s="15" t="str">
        <f aca="false">IF(U44&gt;=Assumptions!$B$10,"High",IF(U44&gt;=Assumptions!$B$9,"Medium","Low"))</f>
        <v>High</v>
      </c>
    </row>
    <row r="45" customFormat="false" ht="15" hidden="false" customHeight="false" outlineLevel="0" collapsed="false">
      <c r="A45" s="5" t="s">
        <v>138</v>
      </c>
      <c r="B45" s="5" t="s">
        <v>139</v>
      </c>
      <c r="C45" s="5" t="s">
        <v>19</v>
      </c>
      <c r="D45" s="5" t="s">
        <v>86</v>
      </c>
      <c r="E45" s="5" t="n">
        <v>30</v>
      </c>
      <c r="F45" s="5" t="n">
        <v>10</v>
      </c>
      <c r="G45" s="13" t="n">
        <v>3693400</v>
      </c>
      <c r="H45" s="13" t="n">
        <v>650300</v>
      </c>
      <c r="I45" s="13" t="n">
        <v>3043100</v>
      </c>
      <c r="J45" s="13" t="n">
        <v>0</v>
      </c>
      <c r="K45" s="13" t="n">
        <v>642720</v>
      </c>
      <c r="L45" s="8" t="n">
        <v>21.1</v>
      </c>
      <c r="M45" s="13" t="n">
        <v>0</v>
      </c>
      <c r="N45" s="13" t="n">
        <v>0</v>
      </c>
      <c r="O45" s="8" t="n">
        <v>14.3</v>
      </c>
      <c r="P45" s="8" t="n">
        <f aca="false">IFERROR(H45/G45*100,0)</f>
        <v>17.6070829046407</v>
      </c>
      <c r="Q45" s="8" t="n">
        <f aca="false">IFERROR(N45/I45*100,0)</f>
        <v>0</v>
      </c>
      <c r="R45" s="14" t="n">
        <f aca="false">IF(L45&lt;0,2,IF(L45&lt;Assumptions!$B$4,1,0))</f>
        <v>0</v>
      </c>
      <c r="S45" s="14" t="n">
        <f aca="false">IF(O45&gt;Assumptions!$B$6,2,IF(O45&gt;Assumptions!$B$5,1,0))</f>
        <v>0</v>
      </c>
      <c r="T45" s="14" t="n">
        <f aca="false">IF(Q45&gt;Assumptions!$B$8,2,IF(Q45&gt;Assumptions!$B$7,1,0))</f>
        <v>0</v>
      </c>
      <c r="U45" s="14" t="n">
        <f aca="false">R45+S45+T45</f>
        <v>0</v>
      </c>
      <c r="V45" s="15" t="str">
        <f aca="false">IF(U45&gt;=Assumptions!$B$10,"High",IF(U45&gt;=Assumptions!$B$9,"Medium","Low"))</f>
        <v>Low</v>
      </c>
    </row>
    <row r="46" customFormat="false" ht="15" hidden="false" customHeight="false" outlineLevel="0" collapsed="false">
      <c r="A46" s="5" t="s">
        <v>140</v>
      </c>
      <c r="B46" s="5" t="s">
        <v>141</v>
      </c>
      <c r="C46" s="5" t="s">
        <v>20</v>
      </c>
      <c r="D46" s="5" t="s">
        <v>57</v>
      </c>
      <c r="E46" s="5" t="n">
        <v>14</v>
      </c>
      <c r="F46" s="5" t="n">
        <v>14</v>
      </c>
      <c r="G46" s="13" t="n">
        <v>3324200</v>
      </c>
      <c r="H46" s="13" t="n">
        <v>442420</v>
      </c>
      <c r="I46" s="13" t="n">
        <v>2881780</v>
      </c>
      <c r="J46" s="13" t="n">
        <v>0</v>
      </c>
      <c r="K46" s="13" t="n">
        <v>195300</v>
      </c>
      <c r="L46" s="8" t="n">
        <v>6.8</v>
      </c>
      <c r="M46" s="13" t="n">
        <v>396880</v>
      </c>
      <c r="N46" s="13" t="n">
        <v>396880</v>
      </c>
      <c r="O46" s="8" t="n">
        <v>40</v>
      </c>
      <c r="P46" s="8" t="n">
        <f aca="false">IFERROR(H46/G46*100,0)</f>
        <v>13.3090668431502</v>
      </c>
      <c r="Q46" s="8" t="n">
        <f aca="false">IFERROR(N46/I46*100,0)</f>
        <v>13.7720436674555</v>
      </c>
      <c r="R46" s="14" t="n">
        <f aca="false">IF(L46&lt;0,2,IF(L46&lt;Assumptions!$B$4,1,0))</f>
        <v>0</v>
      </c>
      <c r="S46" s="14" t="n">
        <f aca="false">IF(O46&gt;Assumptions!$B$6,2,IF(O46&gt;Assumptions!$B$5,1,0))</f>
        <v>2</v>
      </c>
      <c r="T46" s="14" t="n">
        <f aca="false">IF(Q46&gt;Assumptions!$B$8,2,IF(Q46&gt;Assumptions!$B$7,1,0))</f>
        <v>1</v>
      </c>
      <c r="U46" s="14" t="n">
        <f aca="false">R46+S46+T46</f>
        <v>3</v>
      </c>
      <c r="V46" s="15" t="str">
        <f aca="false">IF(U46&gt;=Assumptions!$B$10,"High",IF(U46&gt;=Assumptions!$B$9,"Medium","Low"))</f>
        <v>Medium</v>
      </c>
    </row>
    <row r="47" customFormat="false" ht="15" hidden="false" customHeight="false" outlineLevel="0" collapsed="false">
      <c r="A47" s="5" t="s">
        <v>142</v>
      </c>
      <c r="B47" s="5" t="s">
        <v>143</v>
      </c>
      <c r="C47" s="5" t="s">
        <v>20</v>
      </c>
      <c r="D47" s="5" t="s">
        <v>54</v>
      </c>
      <c r="E47" s="5" t="n">
        <v>14</v>
      </c>
      <c r="F47" s="5" t="n">
        <v>17</v>
      </c>
      <c r="G47" s="13" t="n">
        <v>3894100</v>
      </c>
      <c r="H47" s="13" t="n">
        <v>1086180</v>
      </c>
      <c r="I47" s="13" t="n">
        <v>2807920</v>
      </c>
      <c r="J47" s="13" t="n">
        <v>433930</v>
      </c>
      <c r="K47" s="13" t="n">
        <v>-849800</v>
      </c>
      <c r="L47" s="8" t="n">
        <v>-30.3</v>
      </c>
      <c r="M47" s="13" t="n">
        <v>0</v>
      </c>
      <c r="N47" s="13" t="n">
        <v>0</v>
      </c>
      <c r="O47" s="8" t="n">
        <v>15.470588</v>
      </c>
      <c r="P47" s="8" t="n">
        <f aca="false">IFERROR(H47/G47*100,0)</f>
        <v>27.8929662823245</v>
      </c>
      <c r="Q47" s="8" t="n">
        <f aca="false">IFERROR(N47/I47*100,0)</f>
        <v>0</v>
      </c>
      <c r="R47" s="14" t="n">
        <f aca="false">IF(L47&lt;0,2,IF(L47&lt;Assumptions!$B$4,1,0))</f>
        <v>2</v>
      </c>
      <c r="S47" s="14" t="n">
        <f aca="false">IF(O47&gt;Assumptions!$B$6,2,IF(O47&gt;Assumptions!$B$5,1,0))</f>
        <v>1</v>
      </c>
      <c r="T47" s="14" t="n">
        <f aca="false">IF(Q47&gt;Assumptions!$B$8,2,IF(Q47&gt;Assumptions!$B$7,1,0))</f>
        <v>0</v>
      </c>
      <c r="U47" s="14" t="n">
        <f aca="false">R47+S47+T47</f>
        <v>3</v>
      </c>
      <c r="V47" s="15" t="str">
        <f aca="false">IF(U47&gt;=Assumptions!$B$10,"High",IF(U47&gt;=Assumptions!$B$9,"Medium","Low"))</f>
        <v>Medium</v>
      </c>
    </row>
    <row r="48" customFormat="false" ht="15" hidden="false" customHeight="false" outlineLevel="0" collapsed="false">
      <c r="A48" s="5" t="s">
        <v>144</v>
      </c>
      <c r="B48" s="5" t="s">
        <v>145</v>
      </c>
      <c r="C48" s="5" t="s">
        <v>20</v>
      </c>
      <c r="D48" s="5" t="s">
        <v>93</v>
      </c>
      <c r="E48" s="5" t="n">
        <v>30</v>
      </c>
      <c r="F48" s="5" t="n">
        <v>12</v>
      </c>
      <c r="G48" s="13" t="n">
        <v>3363300</v>
      </c>
      <c r="H48" s="13" t="n">
        <v>687590</v>
      </c>
      <c r="I48" s="13" t="n">
        <v>2675710</v>
      </c>
      <c r="J48" s="13" t="n">
        <v>134140</v>
      </c>
      <c r="K48" s="13" t="n">
        <v>-143270</v>
      </c>
      <c r="L48" s="8" t="n">
        <v>-5.4</v>
      </c>
      <c r="M48" s="13" t="n">
        <v>177440</v>
      </c>
      <c r="N48" s="13" t="n">
        <v>177440</v>
      </c>
      <c r="O48" s="8" t="n">
        <v>7.272727</v>
      </c>
      <c r="P48" s="8" t="n">
        <f aca="false">IFERROR(H48/G48*100,0)</f>
        <v>20.4439092557904</v>
      </c>
      <c r="Q48" s="8" t="n">
        <f aca="false">IFERROR(N48/I48*100,0)</f>
        <v>6.6315108886987</v>
      </c>
      <c r="R48" s="14" t="n">
        <f aca="false">IF(L48&lt;0,2,IF(L48&lt;Assumptions!$B$4,1,0))</f>
        <v>2</v>
      </c>
      <c r="S48" s="14" t="n">
        <f aca="false">IF(O48&gt;Assumptions!$B$6,2,IF(O48&gt;Assumptions!$B$5,1,0))</f>
        <v>0</v>
      </c>
      <c r="T48" s="14" t="n">
        <f aca="false">IF(Q48&gt;Assumptions!$B$8,2,IF(Q48&gt;Assumptions!$B$7,1,0))</f>
        <v>0</v>
      </c>
      <c r="U48" s="14" t="n">
        <f aca="false">R48+S48+T48</f>
        <v>2</v>
      </c>
      <c r="V48" s="15" t="str">
        <f aca="false">IF(U48&gt;=Assumptions!$B$10,"High",IF(U48&gt;=Assumptions!$B$9,"Medium","Low"))</f>
        <v>Medium</v>
      </c>
    </row>
    <row r="49" customFormat="false" ht="15" hidden="false" customHeight="false" outlineLevel="0" collapsed="false">
      <c r="A49" s="5" t="s">
        <v>146</v>
      </c>
      <c r="B49" s="5" t="s">
        <v>147</v>
      </c>
      <c r="C49" s="5" t="s">
        <v>19</v>
      </c>
      <c r="D49" s="5" t="s">
        <v>51</v>
      </c>
      <c r="E49" s="5" t="n">
        <v>45</v>
      </c>
      <c r="F49" s="5" t="n">
        <v>11</v>
      </c>
      <c r="G49" s="13" t="n">
        <v>4255800</v>
      </c>
      <c r="H49" s="13" t="n">
        <v>1584980</v>
      </c>
      <c r="I49" s="13" t="n">
        <v>2670820</v>
      </c>
      <c r="J49" s="13" t="n">
        <v>22790</v>
      </c>
      <c r="K49" s="13" t="n">
        <v>-480930</v>
      </c>
      <c r="L49" s="8" t="n">
        <v>-18</v>
      </c>
      <c r="M49" s="13" t="n">
        <v>1087270</v>
      </c>
      <c r="N49" s="13" t="n">
        <v>1087270</v>
      </c>
      <c r="O49" s="8" t="n">
        <v>8</v>
      </c>
      <c r="P49" s="8" t="n">
        <f aca="false">IFERROR(H49/G49*100,0)</f>
        <v>37.2428215611636</v>
      </c>
      <c r="Q49" s="8" t="n">
        <f aca="false">IFERROR(N49/I49*100,0)</f>
        <v>40.7092203892438</v>
      </c>
      <c r="R49" s="14" t="n">
        <f aca="false">IF(L49&lt;0,2,IF(L49&lt;Assumptions!$B$4,1,0))</f>
        <v>2</v>
      </c>
      <c r="S49" s="14" t="n">
        <f aca="false">IF(O49&gt;Assumptions!$B$6,2,IF(O49&gt;Assumptions!$B$5,1,0))</f>
        <v>0</v>
      </c>
      <c r="T49" s="14" t="n">
        <f aca="false">IF(Q49&gt;Assumptions!$B$8,2,IF(Q49&gt;Assumptions!$B$7,1,0))</f>
        <v>2</v>
      </c>
      <c r="U49" s="14" t="n">
        <f aca="false">R49+S49+T49</f>
        <v>4</v>
      </c>
      <c r="V49" s="15" t="str">
        <f aca="false">IF(U49&gt;=Assumptions!$B$10,"High",IF(U49&gt;=Assumptions!$B$9,"Medium","Low"))</f>
        <v>High</v>
      </c>
    </row>
    <row r="50" customFormat="false" ht="15" hidden="false" customHeight="false" outlineLevel="0" collapsed="false">
      <c r="A50" s="5" t="s">
        <v>148</v>
      </c>
      <c r="B50" s="5" t="s">
        <v>149</v>
      </c>
      <c r="C50" s="5" t="s">
        <v>20</v>
      </c>
      <c r="D50" s="5" t="s">
        <v>86</v>
      </c>
      <c r="E50" s="5" t="n">
        <v>14</v>
      </c>
      <c r="F50" s="5" t="n">
        <v>12</v>
      </c>
      <c r="G50" s="13" t="n">
        <v>3854200</v>
      </c>
      <c r="H50" s="13" t="n">
        <v>1224270</v>
      </c>
      <c r="I50" s="13" t="n">
        <v>2629930</v>
      </c>
      <c r="J50" s="13" t="n">
        <v>0</v>
      </c>
      <c r="K50" s="13" t="n">
        <v>-88080</v>
      </c>
      <c r="L50" s="8" t="n">
        <v>-3.3</v>
      </c>
      <c r="M50" s="13" t="n">
        <v>0</v>
      </c>
      <c r="N50" s="13" t="n">
        <v>0</v>
      </c>
      <c r="O50" s="8" t="n">
        <v>53</v>
      </c>
      <c r="P50" s="8" t="n">
        <f aca="false">IFERROR(H50/G50*100,0)</f>
        <v>31.7645685226506</v>
      </c>
      <c r="Q50" s="8" t="n">
        <f aca="false">IFERROR(N50/I50*100,0)</f>
        <v>0</v>
      </c>
      <c r="R50" s="14" t="n">
        <f aca="false">IF(L50&lt;0,2,IF(L50&lt;Assumptions!$B$4,1,0))</f>
        <v>2</v>
      </c>
      <c r="S50" s="14" t="n">
        <f aca="false">IF(O50&gt;Assumptions!$B$6,2,IF(O50&gt;Assumptions!$B$5,1,0))</f>
        <v>2</v>
      </c>
      <c r="T50" s="14" t="n">
        <f aca="false">IF(Q50&gt;Assumptions!$B$8,2,IF(Q50&gt;Assumptions!$B$7,1,0))</f>
        <v>0</v>
      </c>
      <c r="U50" s="14" t="n">
        <f aca="false">R50+S50+T50</f>
        <v>4</v>
      </c>
      <c r="V50" s="15" t="str">
        <f aca="false">IF(U50&gt;=Assumptions!$B$10,"High",IF(U50&gt;=Assumptions!$B$9,"Medium","Low"))</f>
        <v>High</v>
      </c>
    </row>
    <row r="51" customFormat="false" ht="15" hidden="false" customHeight="false" outlineLevel="0" collapsed="false">
      <c r="A51" s="5" t="s">
        <v>150</v>
      </c>
      <c r="B51" s="5" t="s">
        <v>151</v>
      </c>
      <c r="C51" s="5" t="s">
        <v>20</v>
      </c>
      <c r="D51" s="5" t="s">
        <v>54</v>
      </c>
      <c r="E51" s="5" t="n">
        <v>14</v>
      </c>
      <c r="F51" s="5" t="n">
        <v>12</v>
      </c>
      <c r="G51" s="13" t="n">
        <v>2754700</v>
      </c>
      <c r="H51" s="13" t="n">
        <v>435180</v>
      </c>
      <c r="I51" s="13" t="n">
        <v>2319520</v>
      </c>
      <c r="J51" s="13" t="n">
        <v>0</v>
      </c>
      <c r="K51" s="13" t="n">
        <v>368110</v>
      </c>
      <c r="L51" s="8" t="n">
        <v>15.9</v>
      </c>
      <c r="M51" s="13" t="n">
        <v>0</v>
      </c>
      <c r="N51" s="13" t="n">
        <v>0</v>
      </c>
      <c r="O51" s="8" t="n">
        <v>4.166666</v>
      </c>
      <c r="P51" s="8" t="n">
        <f aca="false">IFERROR(H51/G51*100,0)</f>
        <v>15.7977275202381</v>
      </c>
      <c r="Q51" s="8" t="n">
        <f aca="false">IFERROR(N51/I51*100,0)</f>
        <v>0</v>
      </c>
      <c r="R51" s="14" t="n">
        <f aca="false">IF(L51&lt;0,2,IF(L51&lt;Assumptions!$B$4,1,0))</f>
        <v>0</v>
      </c>
      <c r="S51" s="14" t="n">
        <f aca="false">IF(O51&gt;Assumptions!$B$6,2,IF(O51&gt;Assumptions!$B$5,1,0))</f>
        <v>0</v>
      </c>
      <c r="T51" s="14" t="n">
        <f aca="false">IF(Q51&gt;Assumptions!$B$8,2,IF(Q51&gt;Assumptions!$B$7,1,0))</f>
        <v>0</v>
      </c>
      <c r="U51" s="14" t="n">
        <f aca="false">R51+S51+T51</f>
        <v>0</v>
      </c>
      <c r="V51" s="15" t="str">
        <f aca="false">IF(U51&gt;=Assumptions!$B$10,"High",IF(U51&gt;=Assumptions!$B$9,"Medium","Low"))</f>
        <v>Low</v>
      </c>
    </row>
    <row r="52" customFormat="false" ht="15" hidden="false" customHeight="false" outlineLevel="0" collapsed="false">
      <c r="A52" s="5" t="s">
        <v>152</v>
      </c>
      <c r="B52" s="5" t="s">
        <v>153</v>
      </c>
      <c r="C52" s="5" t="s">
        <v>20</v>
      </c>
      <c r="D52" s="5" t="s">
        <v>54</v>
      </c>
      <c r="E52" s="5" t="n">
        <v>30</v>
      </c>
      <c r="F52" s="5" t="n">
        <v>9</v>
      </c>
      <c r="G52" s="13" t="n">
        <v>2393900</v>
      </c>
      <c r="H52" s="13" t="n">
        <v>200350</v>
      </c>
      <c r="I52" s="13" t="n">
        <v>2193550</v>
      </c>
      <c r="J52" s="13" t="n">
        <v>0</v>
      </c>
      <c r="K52" s="13" t="n">
        <v>497120</v>
      </c>
      <c r="L52" s="8" t="n">
        <v>22.7</v>
      </c>
      <c r="M52" s="13" t="n">
        <v>868560</v>
      </c>
      <c r="N52" s="13" t="n">
        <v>868560</v>
      </c>
      <c r="O52" s="8" t="n">
        <v>12.571428</v>
      </c>
      <c r="P52" s="8" t="n">
        <f aca="false">IFERROR(H52/G52*100,0)</f>
        <v>8.3691883537324</v>
      </c>
      <c r="Q52" s="8" t="n">
        <f aca="false">IFERROR(N52/I52*100,0)</f>
        <v>39.5960885322878</v>
      </c>
      <c r="R52" s="14" t="n">
        <f aca="false">IF(L52&lt;0,2,IF(L52&lt;Assumptions!$B$4,1,0))</f>
        <v>0</v>
      </c>
      <c r="S52" s="14" t="n">
        <f aca="false">IF(O52&gt;Assumptions!$B$6,2,IF(O52&gt;Assumptions!$B$5,1,0))</f>
        <v>0</v>
      </c>
      <c r="T52" s="14" t="n">
        <f aca="false">IF(Q52&gt;Assumptions!$B$8,2,IF(Q52&gt;Assumptions!$B$7,1,0))</f>
        <v>2</v>
      </c>
      <c r="U52" s="14" t="n">
        <f aca="false">R52+S52+T52</f>
        <v>2</v>
      </c>
      <c r="V52" s="15" t="str">
        <f aca="false">IF(U52&gt;=Assumptions!$B$10,"High",IF(U52&gt;=Assumptions!$B$9,"Medium","Low"))</f>
        <v>Medium</v>
      </c>
    </row>
    <row r="53" customFormat="false" ht="15" hidden="false" customHeight="false" outlineLevel="0" collapsed="false">
      <c r="A53" s="5" t="s">
        <v>154</v>
      </c>
      <c r="B53" s="5" t="s">
        <v>155</v>
      </c>
      <c r="C53" s="5" t="s">
        <v>20</v>
      </c>
      <c r="D53" s="5" t="s">
        <v>57</v>
      </c>
      <c r="E53" s="5" t="n">
        <v>30</v>
      </c>
      <c r="F53" s="5" t="n">
        <v>13</v>
      </c>
      <c r="G53" s="13" t="n">
        <v>2578600</v>
      </c>
      <c r="H53" s="13" t="n">
        <v>455540</v>
      </c>
      <c r="I53" s="13" t="n">
        <v>2123060</v>
      </c>
      <c r="J53" s="13" t="n">
        <v>132210</v>
      </c>
      <c r="K53" s="13" t="n">
        <v>-28520</v>
      </c>
      <c r="L53" s="8" t="n">
        <v>-1.3</v>
      </c>
      <c r="M53" s="13" t="n">
        <v>506630</v>
      </c>
      <c r="N53" s="13" t="n">
        <v>506630</v>
      </c>
      <c r="O53" s="8" t="n">
        <v>11.666666</v>
      </c>
      <c r="P53" s="8" t="n">
        <f aca="false">IFERROR(H53/G53*100,0)</f>
        <v>17.6661754440394</v>
      </c>
      <c r="Q53" s="8" t="n">
        <f aca="false">IFERROR(N53/I53*100,0)</f>
        <v>23.8631974602696</v>
      </c>
      <c r="R53" s="14" t="n">
        <f aca="false">IF(L53&lt;0,2,IF(L53&lt;Assumptions!$B$4,1,0))</f>
        <v>2</v>
      </c>
      <c r="S53" s="14" t="n">
        <f aca="false">IF(O53&gt;Assumptions!$B$6,2,IF(O53&gt;Assumptions!$B$5,1,0))</f>
        <v>0</v>
      </c>
      <c r="T53" s="14" t="n">
        <f aca="false">IF(Q53&gt;Assumptions!$B$8,2,IF(Q53&gt;Assumptions!$B$7,1,0))</f>
        <v>2</v>
      </c>
      <c r="U53" s="14" t="n">
        <f aca="false">R53+S53+T53</f>
        <v>4</v>
      </c>
      <c r="V53" s="15" t="str">
        <f aca="false">IF(U53&gt;=Assumptions!$B$10,"High",IF(U53&gt;=Assumptions!$B$9,"Medium","Low"))</f>
        <v>High</v>
      </c>
    </row>
    <row r="54" customFormat="false" ht="15" hidden="false" customHeight="false" outlineLevel="0" collapsed="false">
      <c r="A54" s="5" t="s">
        <v>156</v>
      </c>
      <c r="B54" s="5" t="s">
        <v>157</v>
      </c>
      <c r="C54" s="5" t="s">
        <v>20</v>
      </c>
      <c r="D54" s="5" t="s">
        <v>54</v>
      </c>
      <c r="E54" s="5" t="n">
        <v>30</v>
      </c>
      <c r="F54" s="5" t="n">
        <v>9</v>
      </c>
      <c r="G54" s="13" t="n">
        <v>2603000</v>
      </c>
      <c r="H54" s="13" t="n">
        <v>488680</v>
      </c>
      <c r="I54" s="13" t="n">
        <v>2114320</v>
      </c>
      <c r="J54" s="13" t="n">
        <v>0</v>
      </c>
      <c r="K54" s="13" t="n">
        <v>360960</v>
      </c>
      <c r="L54" s="8" t="n">
        <v>17.1</v>
      </c>
      <c r="M54" s="13" t="n">
        <v>0</v>
      </c>
      <c r="N54" s="13" t="n">
        <v>0</v>
      </c>
      <c r="O54" s="8" t="n">
        <v>4.888888</v>
      </c>
      <c r="P54" s="8" t="n">
        <f aca="false">IFERROR(H54/G54*100,0)</f>
        <v>18.7737226277372</v>
      </c>
      <c r="Q54" s="8" t="n">
        <f aca="false">IFERROR(N54/I54*100,0)</f>
        <v>0</v>
      </c>
      <c r="R54" s="14" t="n">
        <f aca="false">IF(L54&lt;0,2,IF(L54&lt;Assumptions!$B$4,1,0))</f>
        <v>0</v>
      </c>
      <c r="S54" s="14" t="n">
        <f aca="false">IF(O54&gt;Assumptions!$B$6,2,IF(O54&gt;Assumptions!$B$5,1,0))</f>
        <v>0</v>
      </c>
      <c r="T54" s="14" t="n">
        <f aca="false">IF(Q54&gt;Assumptions!$B$8,2,IF(Q54&gt;Assumptions!$B$7,1,0))</f>
        <v>0</v>
      </c>
      <c r="U54" s="14" t="n">
        <f aca="false">R54+S54+T54</f>
        <v>0</v>
      </c>
      <c r="V54" s="15" t="str">
        <f aca="false">IF(U54&gt;=Assumptions!$B$10,"High",IF(U54&gt;=Assumptions!$B$9,"Medium","Low"))</f>
        <v>Low</v>
      </c>
    </row>
    <row r="55" customFormat="false" ht="15" hidden="false" customHeight="false" outlineLevel="0" collapsed="false">
      <c r="A55" s="5" t="s">
        <v>158</v>
      </c>
      <c r="B55" s="5" t="s">
        <v>159</v>
      </c>
      <c r="C55" s="5" t="s">
        <v>20</v>
      </c>
      <c r="D55" s="5" t="s">
        <v>51</v>
      </c>
      <c r="E55" s="5" t="n">
        <v>30</v>
      </c>
      <c r="F55" s="5" t="n">
        <v>10</v>
      </c>
      <c r="G55" s="13" t="n">
        <v>2204500</v>
      </c>
      <c r="H55" s="13" t="n">
        <v>121870</v>
      </c>
      <c r="I55" s="13" t="n">
        <v>2082630</v>
      </c>
      <c r="J55" s="13" t="n">
        <v>0</v>
      </c>
      <c r="K55" s="13" t="n">
        <v>350050</v>
      </c>
      <c r="L55" s="8" t="n">
        <v>16.8</v>
      </c>
      <c r="M55" s="13" t="n">
        <v>0</v>
      </c>
      <c r="N55" s="13" t="n">
        <v>0</v>
      </c>
      <c r="O55" s="8" t="n">
        <v>12.5</v>
      </c>
      <c r="P55" s="8" t="n">
        <f aca="false">IFERROR(H55/G55*100,0)</f>
        <v>5.52823769562259</v>
      </c>
      <c r="Q55" s="8" t="n">
        <f aca="false">IFERROR(N55/I55*100,0)</f>
        <v>0</v>
      </c>
      <c r="R55" s="14" t="n">
        <f aca="false">IF(L55&lt;0,2,IF(L55&lt;Assumptions!$B$4,1,0))</f>
        <v>0</v>
      </c>
      <c r="S55" s="14" t="n">
        <f aca="false">IF(O55&gt;Assumptions!$B$6,2,IF(O55&gt;Assumptions!$B$5,1,0))</f>
        <v>0</v>
      </c>
      <c r="T55" s="14" t="n">
        <f aca="false">IF(Q55&gt;Assumptions!$B$8,2,IF(Q55&gt;Assumptions!$B$7,1,0))</f>
        <v>0</v>
      </c>
      <c r="U55" s="14" t="n">
        <f aca="false">R55+S55+T55</f>
        <v>0</v>
      </c>
      <c r="V55" s="15" t="str">
        <f aca="false">IF(U55&gt;=Assumptions!$B$10,"High",IF(U55&gt;=Assumptions!$B$9,"Medium","Low"))</f>
        <v>Low</v>
      </c>
    </row>
    <row r="56" customFormat="false" ht="15" hidden="false" customHeight="false" outlineLevel="0" collapsed="false">
      <c r="A56" s="5" t="s">
        <v>160</v>
      </c>
      <c r="B56" s="5" t="s">
        <v>161</v>
      </c>
      <c r="C56" s="5" t="s">
        <v>20</v>
      </c>
      <c r="D56" s="5" t="s">
        <v>54</v>
      </c>
      <c r="E56" s="5" t="n">
        <v>30</v>
      </c>
      <c r="F56" s="5" t="n">
        <v>9</v>
      </c>
      <c r="G56" s="13" t="n">
        <v>2161100</v>
      </c>
      <c r="H56" s="13" t="n">
        <v>140800</v>
      </c>
      <c r="I56" s="13" t="n">
        <v>2020300</v>
      </c>
      <c r="J56" s="13" t="n">
        <v>127600</v>
      </c>
      <c r="K56" s="13" t="n">
        <v>146780</v>
      </c>
      <c r="L56" s="8" t="n">
        <v>7.3</v>
      </c>
      <c r="M56" s="13" t="n">
        <v>463520</v>
      </c>
      <c r="N56" s="13" t="n">
        <v>463520</v>
      </c>
      <c r="O56" s="8" t="n">
        <v>57.857142</v>
      </c>
      <c r="P56" s="8" t="n">
        <f aca="false">IFERROR(H56/G56*100,0)</f>
        <v>6.51520059229096</v>
      </c>
      <c r="Q56" s="8" t="n">
        <f aca="false">IFERROR(N56/I56*100,0)</f>
        <v>22.943127258328</v>
      </c>
      <c r="R56" s="14" t="n">
        <f aca="false">IF(L56&lt;0,2,IF(L56&lt;Assumptions!$B$4,1,0))</f>
        <v>0</v>
      </c>
      <c r="S56" s="14" t="n">
        <f aca="false">IF(O56&gt;Assumptions!$B$6,2,IF(O56&gt;Assumptions!$B$5,1,0))</f>
        <v>2</v>
      </c>
      <c r="T56" s="14" t="n">
        <f aca="false">IF(Q56&gt;Assumptions!$B$8,2,IF(Q56&gt;Assumptions!$B$7,1,0))</f>
        <v>2</v>
      </c>
      <c r="U56" s="14" t="n">
        <f aca="false">R56+S56+T56</f>
        <v>4</v>
      </c>
      <c r="V56" s="15" t="str">
        <f aca="false">IF(U56&gt;=Assumptions!$B$10,"High",IF(U56&gt;=Assumptions!$B$9,"Medium","Low"))</f>
        <v>High</v>
      </c>
    </row>
    <row r="57" customFormat="false" ht="15" hidden="false" customHeight="false" outlineLevel="0" collapsed="false">
      <c r="A57" s="5" t="s">
        <v>162</v>
      </c>
      <c r="B57" s="5" t="s">
        <v>163</v>
      </c>
      <c r="C57" s="5" t="s">
        <v>19</v>
      </c>
      <c r="D57" s="5" t="s">
        <v>57</v>
      </c>
      <c r="E57" s="5" t="n">
        <v>30</v>
      </c>
      <c r="F57" s="5" t="n">
        <v>12</v>
      </c>
      <c r="G57" s="13" t="n">
        <v>3145500</v>
      </c>
      <c r="H57" s="13" t="n">
        <v>1138490</v>
      </c>
      <c r="I57" s="13" t="n">
        <v>2007010</v>
      </c>
      <c r="J57" s="13" t="n">
        <v>157560</v>
      </c>
      <c r="K57" s="13" t="n">
        <v>-492870</v>
      </c>
      <c r="L57" s="8" t="n">
        <v>-24.6</v>
      </c>
      <c r="M57" s="13" t="n">
        <v>57280</v>
      </c>
      <c r="N57" s="13" t="n">
        <v>57280</v>
      </c>
      <c r="O57" s="8" t="n">
        <v>14.545454</v>
      </c>
      <c r="P57" s="8" t="n">
        <f aca="false">IFERROR(H57/G57*100,0)</f>
        <v>36.1942457478938</v>
      </c>
      <c r="Q57" s="8" t="n">
        <f aca="false">IFERROR(N57/I57*100,0)</f>
        <v>2.85399674142132</v>
      </c>
      <c r="R57" s="14" t="n">
        <f aca="false">IF(L57&lt;0,2,IF(L57&lt;Assumptions!$B$4,1,0))</f>
        <v>2</v>
      </c>
      <c r="S57" s="14" t="n">
        <f aca="false">IF(O57&gt;Assumptions!$B$6,2,IF(O57&gt;Assumptions!$B$5,1,0))</f>
        <v>0</v>
      </c>
      <c r="T57" s="14" t="n">
        <f aca="false">IF(Q57&gt;Assumptions!$B$8,2,IF(Q57&gt;Assumptions!$B$7,1,0))</f>
        <v>0</v>
      </c>
      <c r="U57" s="14" t="n">
        <f aca="false">R57+S57+T57</f>
        <v>2</v>
      </c>
      <c r="V57" s="15" t="str">
        <f aca="false">IF(U57&gt;=Assumptions!$B$10,"High",IF(U57&gt;=Assumptions!$B$9,"Medium","Low"))</f>
        <v>Medium</v>
      </c>
    </row>
    <row r="58" customFormat="false" ht="15" hidden="false" customHeight="false" outlineLevel="0" collapsed="false">
      <c r="A58" s="5" t="s">
        <v>164</v>
      </c>
      <c r="B58" s="5" t="s">
        <v>165</v>
      </c>
      <c r="C58" s="5" t="s">
        <v>20</v>
      </c>
      <c r="D58" s="5" t="s">
        <v>51</v>
      </c>
      <c r="E58" s="5" t="n">
        <v>14</v>
      </c>
      <c r="F58" s="5" t="n">
        <v>10</v>
      </c>
      <c r="G58" s="13" t="n">
        <v>2286500</v>
      </c>
      <c r="H58" s="13" t="n">
        <v>294640</v>
      </c>
      <c r="I58" s="13" t="n">
        <v>1991860</v>
      </c>
      <c r="J58" s="13" t="n">
        <v>67770</v>
      </c>
      <c r="K58" s="13" t="n">
        <v>249470</v>
      </c>
      <c r="L58" s="8" t="n">
        <v>12.5</v>
      </c>
      <c r="M58" s="13" t="n">
        <v>137640</v>
      </c>
      <c r="N58" s="13" t="n">
        <v>137640</v>
      </c>
      <c r="O58" s="8" t="n">
        <v>12.666666</v>
      </c>
      <c r="P58" s="8" t="n">
        <f aca="false">IFERROR(H58/G58*100,0)</f>
        <v>12.8860704132954</v>
      </c>
      <c r="Q58" s="8" t="n">
        <f aca="false">IFERROR(N58/I58*100,0)</f>
        <v>6.91012420551645</v>
      </c>
      <c r="R58" s="14" t="n">
        <f aca="false">IF(L58&lt;0,2,IF(L58&lt;Assumptions!$B$4,1,0))</f>
        <v>0</v>
      </c>
      <c r="S58" s="14" t="n">
        <f aca="false">IF(O58&gt;Assumptions!$B$6,2,IF(O58&gt;Assumptions!$B$5,1,0))</f>
        <v>0</v>
      </c>
      <c r="T58" s="14" t="n">
        <f aca="false">IF(Q58&gt;Assumptions!$B$8,2,IF(Q58&gt;Assumptions!$B$7,1,0))</f>
        <v>0</v>
      </c>
      <c r="U58" s="14" t="n">
        <f aca="false">R58+S58+T58</f>
        <v>0</v>
      </c>
      <c r="V58" s="15" t="str">
        <f aca="false">IF(U58&gt;=Assumptions!$B$10,"High",IF(U58&gt;=Assumptions!$B$9,"Medium","Low"))</f>
        <v>Low</v>
      </c>
    </row>
    <row r="59" customFormat="false" ht="15" hidden="false" customHeight="false" outlineLevel="0" collapsed="false">
      <c r="A59" s="5" t="s">
        <v>166</v>
      </c>
      <c r="B59" s="5" t="s">
        <v>167</v>
      </c>
      <c r="C59" s="5" t="s">
        <v>20</v>
      </c>
      <c r="D59" s="5" t="s">
        <v>51</v>
      </c>
      <c r="E59" s="5" t="n">
        <v>30</v>
      </c>
      <c r="F59" s="5" t="n">
        <v>8</v>
      </c>
      <c r="G59" s="13" t="n">
        <v>2468400</v>
      </c>
      <c r="H59" s="13" t="n">
        <v>500950</v>
      </c>
      <c r="I59" s="13" t="n">
        <v>1967450</v>
      </c>
      <c r="J59" s="13" t="n">
        <v>135520</v>
      </c>
      <c r="K59" s="13" t="n">
        <v>-1350</v>
      </c>
      <c r="L59" s="8" t="n">
        <v>-0.1</v>
      </c>
      <c r="M59" s="13" t="n">
        <v>157700</v>
      </c>
      <c r="N59" s="13" t="n">
        <v>157700</v>
      </c>
      <c r="O59" s="8" t="n">
        <v>2</v>
      </c>
      <c r="P59" s="8" t="n">
        <f aca="false">IFERROR(H59/G59*100,0)</f>
        <v>20.2945227677848</v>
      </c>
      <c r="Q59" s="8" t="n">
        <f aca="false">IFERROR(N59/I59*100,0)</f>
        <v>8.01545147271849</v>
      </c>
      <c r="R59" s="14" t="n">
        <f aca="false">IF(L59&lt;0,2,IF(L59&lt;Assumptions!$B$4,1,0))</f>
        <v>2</v>
      </c>
      <c r="S59" s="14" t="n">
        <f aca="false">IF(O59&gt;Assumptions!$B$6,2,IF(O59&gt;Assumptions!$B$5,1,0))</f>
        <v>0</v>
      </c>
      <c r="T59" s="14" t="n">
        <f aca="false">IF(Q59&gt;Assumptions!$B$8,2,IF(Q59&gt;Assumptions!$B$7,1,0))</f>
        <v>0</v>
      </c>
      <c r="U59" s="14" t="n">
        <f aca="false">R59+S59+T59</f>
        <v>2</v>
      </c>
      <c r="V59" s="15" t="str">
        <f aca="false">IF(U59&gt;=Assumptions!$B$10,"High",IF(U59&gt;=Assumptions!$B$9,"Medium","Low"))</f>
        <v>Medium</v>
      </c>
    </row>
    <row r="60" customFormat="false" ht="15" hidden="false" customHeight="false" outlineLevel="0" collapsed="false">
      <c r="A60" s="5" t="s">
        <v>168</v>
      </c>
      <c r="B60" s="5" t="s">
        <v>169</v>
      </c>
      <c r="C60" s="5" t="s">
        <v>20</v>
      </c>
      <c r="D60" s="5" t="s">
        <v>54</v>
      </c>
      <c r="E60" s="5" t="n">
        <v>14</v>
      </c>
      <c r="F60" s="5" t="n">
        <v>8</v>
      </c>
      <c r="G60" s="13" t="n">
        <v>2153000</v>
      </c>
      <c r="H60" s="13" t="n">
        <v>247800</v>
      </c>
      <c r="I60" s="13" t="n">
        <v>1905200</v>
      </c>
      <c r="J60" s="13" t="n">
        <v>269350</v>
      </c>
      <c r="K60" s="13" t="n">
        <v>119340</v>
      </c>
      <c r="L60" s="8" t="n">
        <v>6.3</v>
      </c>
      <c r="M60" s="13" t="n">
        <v>0</v>
      </c>
      <c r="N60" s="13" t="n">
        <v>0</v>
      </c>
      <c r="O60" s="8" t="n">
        <v>3.375</v>
      </c>
      <c r="P60" s="8" t="n">
        <f aca="false">IFERROR(H60/G60*100,0)</f>
        <v>11.5095215977706</v>
      </c>
      <c r="Q60" s="8" t="n">
        <f aca="false">IFERROR(N60/I60*100,0)</f>
        <v>0</v>
      </c>
      <c r="R60" s="14" t="n">
        <f aca="false">IF(L60&lt;0,2,IF(L60&lt;Assumptions!$B$4,1,0))</f>
        <v>0</v>
      </c>
      <c r="S60" s="14" t="n">
        <f aca="false">IF(O60&gt;Assumptions!$B$6,2,IF(O60&gt;Assumptions!$B$5,1,0))</f>
        <v>0</v>
      </c>
      <c r="T60" s="14" t="n">
        <f aca="false">IF(Q60&gt;Assumptions!$B$8,2,IF(Q60&gt;Assumptions!$B$7,1,0))</f>
        <v>0</v>
      </c>
      <c r="U60" s="14" t="n">
        <f aca="false">R60+S60+T60</f>
        <v>0</v>
      </c>
      <c r="V60" s="15" t="str">
        <f aca="false">IF(U60&gt;=Assumptions!$B$10,"High",IF(U60&gt;=Assumptions!$B$9,"Medium","Low"))</f>
        <v>Low</v>
      </c>
    </row>
    <row r="61" customFormat="false" ht="15" hidden="false" customHeight="false" outlineLevel="0" collapsed="false">
      <c r="A61" s="5" t="s">
        <v>170</v>
      </c>
      <c r="B61" s="5" t="s">
        <v>171</v>
      </c>
      <c r="C61" s="5" t="s">
        <v>20</v>
      </c>
      <c r="D61" s="5" t="s">
        <v>54</v>
      </c>
      <c r="E61" s="5" t="n">
        <v>30</v>
      </c>
      <c r="F61" s="5" t="n">
        <v>10</v>
      </c>
      <c r="G61" s="13" t="n">
        <v>2919400</v>
      </c>
      <c r="H61" s="13" t="n">
        <v>1063070</v>
      </c>
      <c r="I61" s="13" t="n">
        <v>1856330</v>
      </c>
      <c r="J61" s="13" t="n">
        <v>0</v>
      </c>
      <c r="K61" s="13" t="n">
        <v>-444460</v>
      </c>
      <c r="L61" s="8" t="n">
        <v>-23.9</v>
      </c>
      <c r="M61" s="13" t="n">
        <v>43950</v>
      </c>
      <c r="N61" s="13" t="n">
        <v>43950</v>
      </c>
      <c r="O61" s="8" t="n">
        <v>10.4</v>
      </c>
      <c r="P61" s="8" t="n">
        <f aca="false">IFERROR(H61/G61*100,0)</f>
        <v>36.4139891758581</v>
      </c>
      <c r="Q61" s="8" t="n">
        <f aca="false">IFERROR(N61/I61*100,0)</f>
        <v>2.36757473078601</v>
      </c>
      <c r="R61" s="14" t="n">
        <f aca="false">IF(L61&lt;0,2,IF(L61&lt;Assumptions!$B$4,1,0))</f>
        <v>2</v>
      </c>
      <c r="S61" s="14" t="n">
        <f aca="false">IF(O61&gt;Assumptions!$B$6,2,IF(O61&gt;Assumptions!$B$5,1,0))</f>
        <v>0</v>
      </c>
      <c r="T61" s="14" t="n">
        <f aca="false">IF(Q61&gt;Assumptions!$B$8,2,IF(Q61&gt;Assumptions!$B$7,1,0))</f>
        <v>0</v>
      </c>
      <c r="U61" s="14" t="n">
        <f aca="false">R61+S61+T61</f>
        <v>2</v>
      </c>
      <c r="V61" s="15" t="str">
        <f aca="false">IF(U61&gt;=Assumptions!$B$10,"High",IF(U61&gt;=Assumptions!$B$9,"Medium","Low"))</f>
        <v>Medium</v>
      </c>
    </row>
    <row r="62" customFormat="false" ht="15" hidden="false" customHeight="false" outlineLevel="0" collapsed="false">
      <c r="A62" s="5" t="s">
        <v>172</v>
      </c>
      <c r="B62" s="5" t="s">
        <v>173</v>
      </c>
      <c r="C62" s="5" t="s">
        <v>20</v>
      </c>
      <c r="D62" s="5" t="s">
        <v>54</v>
      </c>
      <c r="E62" s="5" t="n">
        <v>14</v>
      </c>
      <c r="F62" s="5" t="n">
        <v>10</v>
      </c>
      <c r="G62" s="13" t="n">
        <v>1879200</v>
      </c>
      <c r="H62" s="13" t="n">
        <v>41380</v>
      </c>
      <c r="I62" s="13" t="n">
        <v>1837820</v>
      </c>
      <c r="J62" s="13" t="n">
        <v>63650</v>
      </c>
      <c r="K62" s="13" t="n">
        <v>304820</v>
      </c>
      <c r="L62" s="8" t="n">
        <v>16.6</v>
      </c>
      <c r="M62" s="13" t="n">
        <v>64720</v>
      </c>
      <c r="N62" s="13" t="n">
        <v>64720</v>
      </c>
      <c r="O62" s="8" t="n">
        <v>43.111111</v>
      </c>
      <c r="P62" s="8" t="n">
        <f aca="false">IFERROR(H62/G62*100,0)</f>
        <v>2.20200085142614</v>
      </c>
      <c r="Q62" s="8" t="n">
        <f aca="false">IFERROR(N62/I62*100,0)</f>
        <v>3.52156359164662</v>
      </c>
      <c r="R62" s="14" t="n">
        <f aca="false">IF(L62&lt;0,2,IF(L62&lt;Assumptions!$B$4,1,0))</f>
        <v>0</v>
      </c>
      <c r="S62" s="14" t="n">
        <f aca="false">IF(O62&gt;Assumptions!$B$6,2,IF(O62&gt;Assumptions!$B$5,1,0))</f>
        <v>2</v>
      </c>
      <c r="T62" s="14" t="n">
        <f aca="false">IF(Q62&gt;Assumptions!$B$8,2,IF(Q62&gt;Assumptions!$B$7,1,0))</f>
        <v>0</v>
      </c>
      <c r="U62" s="14" t="n">
        <f aca="false">R62+S62+T62</f>
        <v>2</v>
      </c>
      <c r="V62" s="15" t="str">
        <f aca="false">IF(U62&gt;=Assumptions!$B$10,"High",IF(U62&gt;=Assumptions!$B$9,"Medium","Low"))</f>
        <v>Medium</v>
      </c>
    </row>
    <row r="63" customFormat="false" ht="15" hidden="false" customHeight="false" outlineLevel="0" collapsed="false">
      <c r="A63" s="5" t="s">
        <v>174</v>
      </c>
      <c r="B63" s="5" t="s">
        <v>175</v>
      </c>
      <c r="C63" s="5" t="s">
        <v>20</v>
      </c>
      <c r="D63" s="5" t="s">
        <v>86</v>
      </c>
      <c r="E63" s="5" t="n">
        <v>14</v>
      </c>
      <c r="F63" s="5" t="n">
        <v>10</v>
      </c>
      <c r="G63" s="13" t="n">
        <v>1920600</v>
      </c>
      <c r="H63" s="13" t="n">
        <v>88930</v>
      </c>
      <c r="I63" s="13" t="n">
        <v>1831670</v>
      </c>
      <c r="J63" s="13" t="n">
        <v>0</v>
      </c>
      <c r="K63" s="13" t="n">
        <v>422330</v>
      </c>
      <c r="L63" s="8" t="n">
        <v>23.1</v>
      </c>
      <c r="M63" s="13" t="n">
        <v>156920</v>
      </c>
      <c r="N63" s="13" t="n">
        <v>156920</v>
      </c>
      <c r="O63" s="8" t="n">
        <v>10.888888</v>
      </c>
      <c r="P63" s="8" t="n">
        <f aca="false">IFERROR(H63/G63*100,0)</f>
        <v>4.63032385712798</v>
      </c>
      <c r="Q63" s="8" t="n">
        <f aca="false">IFERROR(N63/I63*100,0)</f>
        <v>8.56704537389377</v>
      </c>
      <c r="R63" s="14" t="n">
        <f aca="false">IF(L63&lt;0,2,IF(L63&lt;Assumptions!$B$4,1,0))</f>
        <v>0</v>
      </c>
      <c r="S63" s="14" t="n">
        <f aca="false">IF(O63&gt;Assumptions!$B$6,2,IF(O63&gt;Assumptions!$B$5,1,0))</f>
        <v>0</v>
      </c>
      <c r="T63" s="14" t="n">
        <f aca="false">IF(Q63&gt;Assumptions!$B$8,2,IF(Q63&gt;Assumptions!$B$7,1,0))</f>
        <v>0</v>
      </c>
      <c r="U63" s="14" t="n">
        <f aca="false">R63+S63+T63</f>
        <v>0</v>
      </c>
      <c r="V63" s="15" t="str">
        <f aca="false">IF(U63&gt;=Assumptions!$B$10,"High",IF(U63&gt;=Assumptions!$B$9,"Medium","Low"))</f>
        <v>Low</v>
      </c>
    </row>
    <row r="64" customFormat="false" ht="15" hidden="false" customHeight="false" outlineLevel="0" collapsed="false">
      <c r="A64" s="5" t="s">
        <v>176</v>
      </c>
      <c r="B64" s="5" t="s">
        <v>177</v>
      </c>
      <c r="C64" s="5" t="s">
        <v>20</v>
      </c>
      <c r="D64" s="5" t="s">
        <v>54</v>
      </c>
      <c r="E64" s="5" t="n">
        <v>14</v>
      </c>
      <c r="F64" s="5" t="n">
        <v>10</v>
      </c>
      <c r="G64" s="13" t="n">
        <v>2057300</v>
      </c>
      <c r="H64" s="13" t="n">
        <v>250600</v>
      </c>
      <c r="I64" s="13" t="n">
        <v>1806700</v>
      </c>
      <c r="J64" s="13" t="n">
        <v>116250</v>
      </c>
      <c r="K64" s="13" t="n">
        <v>40280</v>
      </c>
      <c r="L64" s="8" t="n">
        <v>2.2</v>
      </c>
      <c r="M64" s="13" t="n">
        <v>340900</v>
      </c>
      <c r="N64" s="13" t="n">
        <v>340900</v>
      </c>
      <c r="O64" s="8" t="n">
        <v>5</v>
      </c>
      <c r="P64" s="8" t="n">
        <f aca="false">IFERROR(H64/G64*100,0)</f>
        <v>12.1810139503232</v>
      </c>
      <c r="Q64" s="8" t="n">
        <f aca="false">IFERROR(N64/I64*100,0)</f>
        <v>18.8686555598605</v>
      </c>
      <c r="R64" s="14" t="n">
        <f aca="false">IF(L64&lt;0,2,IF(L64&lt;Assumptions!$B$4,1,0))</f>
        <v>1</v>
      </c>
      <c r="S64" s="14" t="n">
        <f aca="false">IF(O64&gt;Assumptions!$B$6,2,IF(O64&gt;Assumptions!$B$5,1,0))</f>
        <v>0</v>
      </c>
      <c r="T64" s="14" t="n">
        <f aca="false">IF(Q64&gt;Assumptions!$B$8,2,IF(Q64&gt;Assumptions!$B$7,1,0))</f>
        <v>1</v>
      </c>
      <c r="U64" s="14" t="n">
        <f aca="false">R64+S64+T64</f>
        <v>2</v>
      </c>
      <c r="V64" s="15" t="str">
        <f aca="false">IF(U64&gt;=Assumptions!$B$10,"High",IF(U64&gt;=Assumptions!$B$9,"Medium","Low"))</f>
        <v>Medium</v>
      </c>
    </row>
    <row r="65" customFormat="false" ht="15" hidden="false" customHeight="false" outlineLevel="0" collapsed="false">
      <c r="A65" s="5" t="s">
        <v>178</v>
      </c>
      <c r="B65" s="5" t="s">
        <v>179</v>
      </c>
      <c r="C65" s="5" t="s">
        <v>20</v>
      </c>
      <c r="D65" s="5" t="s">
        <v>54</v>
      </c>
      <c r="E65" s="5" t="n">
        <v>14</v>
      </c>
      <c r="F65" s="5" t="n">
        <v>9</v>
      </c>
      <c r="G65" s="13" t="n">
        <v>1929600</v>
      </c>
      <c r="H65" s="13" t="n">
        <v>260850</v>
      </c>
      <c r="I65" s="13" t="n">
        <v>1668750</v>
      </c>
      <c r="J65" s="13" t="n">
        <v>0</v>
      </c>
      <c r="K65" s="13" t="n">
        <v>361410</v>
      </c>
      <c r="L65" s="8" t="n">
        <v>21.7</v>
      </c>
      <c r="M65" s="13" t="n">
        <v>87190</v>
      </c>
      <c r="N65" s="13" t="n">
        <v>87190</v>
      </c>
      <c r="O65" s="8" t="n">
        <v>3.888888</v>
      </c>
      <c r="P65" s="8" t="n">
        <f aca="false">IFERROR(H65/G65*100,0)</f>
        <v>13.5183457711443</v>
      </c>
      <c r="Q65" s="8" t="n">
        <f aca="false">IFERROR(N65/I65*100,0)</f>
        <v>5.22486891385768</v>
      </c>
      <c r="R65" s="14" t="n">
        <f aca="false">IF(L65&lt;0,2,IF(L65&lt;Assumptions!$B$4,1,0))</f>
        <v>0</v>
      </c>
      <c r="S65" s="14" t="n">
        <f aca="false">IF(O65&gt;Assumptions!$B$6,2,IF(O65&gt;Assumptions!$B$5,1,0))</f>
        <v>0</v>
      </c>
      <c r="T65" s="14" t="n">
        <f aca="false">IF(Q65&gt;Assumptions!$B$8,2,IF(Q65&gt;Assumptions!$B$7,1,0))</f>
        <v>0</v>
      </c>
      <c r="U65" s="14" t="n">
        <f aca="false">R65+S65+T65</f>
        <v>0</v>
      </c>
      <c r="V65" s="15" t="str">
        <f aca="false">IF(U65&gt;=Assumptions!$B$10,"High",IF(U65&gt;=Assumptions!$B$9,"Medium","Low"))</f>
        <v>Low</v>
      </c>
    </row>
    <row r="66" customFormat="false" ht="15" hidden="false" customHeight="false" outlineLevel="0" collapsed="false">
      <c r="A66" s="5" t="s">
        <v>180</v>
      </c>
      <c r="B66" s="5" t="s">
        <v>181</v>
      </c>
      <c r="C66" s="5" t="s">
        <v>20</v>
      </c>
      <c r="D66" s="5" t="s">
        <v>93</v>
      </c>
      <c r="E66" s="5" t="n">
        <v>14</v>
      </c>
      <c r="F66" s="5" t="n">
        <v>8</v>
      </c>
      <c r="G66" s="13" t="n">
        <v>1896900</v>
      </c>
      <c r="H66" s="13" t="n">
        <v>253140</v>
      </c>
      <c r="I66" s="13" t="n">
        <v>1643760</v>
      </c>
      <c r="J66" s="13" t="n">
        <v>195870</v>
      </c>
      <c r="K66" s="13" t="n">
        <v>37800</v>
      </c>
      <c r="L66" s="8" t="n">
        <v>2.3</v>
      </c>
      <c r="M66" s="13" t="n">
        <v>0</v>
      </c>
      <c r="N66" s="13" t="n">
        <v>0</v>
      </c>
      <c r="O66" s="8" t="n">
        <v>8.625</v>
      </c>
      <c r="P66" s="8" t="n">
        <f aca="false">IFERROR(H66/G66*100,0)</f>
        <v>13.3449312035426</v>
      </c>
      <c r="Q66" s="8" t="n">
        <f aca="false">IFERROR(N66/I66*100,0)</f>
        <v>0</v>
      </c>
      <c r="R66" s="14" t="n">
        <f aca="false">IF(L66&lt;0,2,IF(L66&lt;Assumptions!$B$4,1,0))</f>
        <v>1</v>
      </c>
      <c r="S66" s="14" t="n">
        <f aca="false">IF(O66&gt;Assumptions!$B$6,2,IF(O66&gt;Assumptions!$B$5,1,0))</f>
        <v>0</v>
      </c>
      <c r="T66" s="14" t="n">
        <f aca="false">IF(Q66&gt;Assumptions!$B$8,2,IF(Q66&gt;Assumptions!$B$7,1,0))</f>
        <v>0</v>
      </c>
      <c r="U66" s="14" t="n">
        <f aca="false">R66+S66+T66</f>
        <v>1</v>
      </c>
      <c r="V66" s="15" t="str">
        <f aca="false">IF(U66&gt;=Assumptions!$B$10,"High",IF(U66&gt;=Assumptions!$B$9,"Medium","Low"))</f>
        <v>Low</v>
      </c>
    </row>
    <row r="67" customFormat="false" ht="15" hidden="false" customHeight="false" outlineLevel="0" collapsed="false">
      <c r="A67" s="5" t="s">
        <v>182</v>
      </c>
      <c r="B67" s="5" t="s">
        <v>183</v>
      </c>
      <c r="C67" s="5" t="s">
        <v>20</v>
      </c>
      <c r="D67" s="5" t="s">
        <v>54</v>
      </c>
      <c r="E67" s="5" t="n">
        <v>30</v>
      </c>
      <c r="F67" s="5" t="n">
        <v>9</v>
      </c>
      <c r="G67" s="13" t="n">
        <v>1892000</v>
      </c>
      <c r="H67" s="13" t="n">
        <v>307270</v>
      </c>
      <c r="I67" s="13" t="n">
        <v>1584730</v>
      </c>
      <c r="J67" s="13" t="n">
        <v>36870</v>
      </c>
      <c r="K67" s="13" t="n">
        <v>9430</v>
      </c>
      <c r="L67" s="8" t="n">
        <v>0.6</v>
      </c>
      <c r="M67" s="13" t="n">
        <v>0</v>
      </c>
      <c r="N67" s="13" t="n">
        <v>0</v>
      </c>
      <c r="O67" s="8" t="n">
        <v>16.111111</v>
      </c>
      <c r="P67" s="8" t="n">
        <f aca="false">IFERROR(H67/G67*100,0)</f>
        <v>16.2404862579281</v>
      </c>
      <c r="Q67" s="8" t="n">
        <f aca="false">IFERROR(N67/I67*100,0)</f>
        <v>0</v>
      </c>
      <c r="R67" s="14" t="n">
        <f aca="false">IF(L67&lt;0,2,IF(L67&lt;Assumptions!$B$4,1,0))</f>
        <v>1</v>
      </c>
      <c r="S67" s="14" t="n">
        <f aca="false">IF(O67&gt;Assumptions!$B$6,2,IF(O67&gt;Assumptions!$B$5,1,0))</f>
        <v>1</v>
      </c>
      <c r="T67" s="14" t="n">
        <f aca="false">IF(Q67&gt;Assumptions!$B$8,2,IF(Q67&gt;Assumptions!$B$7,1,0))</f>
        <v>0</v>
      </c>
      <c r="U67" s="14" t="n">
        <f aca="false">R67+S67+T67</f>
        <v>2</v>
      </c>
      <c r="V67" s="15" t="str">
        <f aca="false">IF(U67&gt;=Assumptions!$B$10,"High",IF(U67&gt;=Assumptions!$B$9,"Medium","Low"))</f>
        <v>Medium</v>
      </c>
    </row>
    <row r="68" customFormat="false" ht="15" hidden="false" customHeight="false" outlineLevel="0" collapsed="false">
      <c r="A68" s="5" t="s">
        <v>184</v>
      </c>
      <c r="B68" s="5" t="s">
        <v>185</v>
      </c>
      <c r="C68" s="5" t="s">
        <v>21</v>
      </c>
      <c r="D68" s="5" t="s">
        <v>54</v>
      </c>
      <c r="E68" s="5" t="n">
        <v>14</v>
      </c>
      <c r="F68" s="5" t="n">
        <v>10</v>
      </c>
      <c r="G68" s="13" t="n">
        <v>1664700</v>
      </c>
      <c r="H68" s="13" t="n">
        <v>120080</v>
      </c>
      <c r="I68" s="13" t="n">
        <v>1544620</v>
      </c>
      <c r="J68" s="13" t="n">
        <v>229630</v>
      </c>
      <c r="K68" s="13" t="n">
        <v>150190</v>
      </c>
      <c r="L68" s="8" t="n">
        <v>9.7</v>
      </c>
      <c r="M68" s="13" t="n">
        <v>286780</v>
      </c>
      <c r="N68" s="13" t="n">
        <v>286780</v>
      </c>
      <c r="O68" s="8" t="n">
        <v>52.25</v>
      </c>
      <c r="P68" s="8" t="n">
        <f aca="false">IFERROR(H68/G68*100,0)</f>
        <v>7.21331170781522</v>
      </c>
      <c r="Q68" s="8" t="n">
        <f aca="false">IFERROR(N68/I68*100,0)</f>
        <v>18.5663787857208</v>
      </c>
      <c r="R68" s="14" t="n">
        <f aca="false">IF(L68&lt;0,2,IF(L68&lt;Assumptions!$B$4,1,0))</f>
        <v>0</v>
      </c>
      <c r="S68" s="14" t="n">
        <f aca="false">IF(O68&gt;Assumptions!$B$6,2,IF(O68&gt;Assumptions!$B$5,1,0))</f>
        <v>2</v>
      </c>
      <c r="T68" s="14" t="n">
        <f aca="false">IF(Q68&gt;Assumptions!$B$8,2,IF(Q68&gt;Assumptions!$B$7,1,0))</f>
        <v>1</v>
      </c>
      <c r="U68" s="14" t="n">
        <f aca="false">R68+S68+T68</f>
        <v>3</v>
      </c>
      <c r="V68" s="15" t="str">
        <f aca="false">IF(U68&gt;=Assumptions!$B$10,"High",IF(U68&gt;=Assumptions!$B$9,"Medium","Low"))</f>
        <v>Medium</v>
      </c>
    </row>
    <row r="69" customFormat="false" ht="15" hidden="false" customHeight="false" outlineLevel="0" collapsed="false">
      <c r="A69" s="5" t="s">
        <v>186</v>
      </c>
      <c r="B69" s="5" t="s">
        <v>187</v>
      </c>
      <c r="C69" s="5" t="s">
        <v>21</v>
      </c>
      <c r="D69" s="5" t="s">
        <v>51</v>
      </c>
      <c r="E69" s="5" t="n">
        <v>0</v>
      </c>
      <c r="F69" s="5" t="n">
        <v>11</v>
      </c>
      <c r="G69" s="13" t="n">
        <v>1601400</v>
      </c>
      <c r="H69" s="13" t="n">
        <v>99210</v>
      </c>
      <c r="I69" s="13" t="n">
        <v>1502190</v>
      </c>
      <c r="J69" s="13" t="n">
        <v>0</v>
      </c>
      <c r="K69" s="13" t="n">
        <v>371960</v>
      </c>
      <c r="L69" s="8" t="n">
        <v>24.8</v>
      </c>
      <c r="M69" s="13" t="n">
        <v>0</v>
      </c>
      <c r="N69" s="13" t="n">
        <v>0</v>
      </c>
      <c r="O69" s="8" t="n">
        <v>1.090909</v>
      </c>
      <c r="P69" s="8" t="n">
        <f aca="false">IFERROR(H69/G69*100,0)</f>
        <v>6.19520419632821</v>
      </c>
      <c r="Q69" s="8" t="n">
        <f aca="false">IFERROR(N69/I69*100,0)</f>
        <v>0</v>
      </c>
      <c r="R69" s="14" t="n">
        <f aca="false">IF(L69&lt;0,2,IF(L69&lt;Assumptions!$B$4,1,0))</f>
        <v>0</v>
      </c>
      <c r="S69" s="14" t="n">
        <f aca="false">IF(O69&gt;Assumptions!$B$6,2,IF(O69&gt;Assumptions!$B$5,1,0))</f>
        <v>0</v>
      </c>
      <c r="T69" s="14" t="n">
        <f aca="false">IF(Q69&gt;Assumptions!$B$8,2,IF(Q69&gt;Assumptions!$B$7,1,0))</f>
        <v>0</v>
      </c>
      <c r="U69" s="14" t="n">
        <f aca="false">R69+S69+T69</f>
        <v>0</v>
      </c>
      <c r="V69" s="15" t="str">
        <f aca="false">IF(U69&gt;=Assumptions!$B$10,"High",IF(U69&gt;=Assumptions!$B$9,"Medium","Low"))</f>
        <v>Low</v>
      </c>
    </row>
    <row r="70" customFormat="false" ht="15" hidden="false" customHeight="false" outlineLevel="0" collapsed="false">
      <c r="A70" s="5" t="s">
        <v>188</v>
      </c>
      <c r="B70" s="5" t="s">
        <v>189</v>
      </c>
      <c r="C70" s="5" t="s">
        <v>20</v>
      </c>
      <c r="D70" s="5" t="s">
        <v>54</v>
      </c>
      <c r="E70" s="5" t="n">
        <v>14</v>
      </c>
      <c r="F70" s="5" t="n">
        <v>7</v>
      </c>
      <c r="G70" s="13" t="n">
        <v>1869400</v>
      </c>
      <c r="H70" s="13" t="n">
        <v>376160</v>
      </c>
      <c r="I70" s="13" t="n">
        <v>1493240</v>
      </c>
      <c r="J70" s="13" t="n">
        <v>0</v>
      </c>
      <c r="K70" s="13" t="n">
        <v>92340</v>
      </c>
      <c r="L70" s="8" t="n">
        <v>6.2</v>
      </c>
      <c r="M70" s="13" t="n">
        <v>0</v>
      </c>
      <c r="N70" s="13" t="n">
        <v>0</v>
      </c>
      <c r="O70" s="8" t="n">
        <v>17.428571</v>
      </c>
      <c r="P70" s="8" t="n">
        <f aca="false">IFERROR(H70/G70*100,0)</f>
        <v>20.1219642666096</v>
      </c>
      <c r="Q70" s="8" t="n">
        <f aca="false">IFERROR(N70/I70*100,0)</f>
        <v>0</v>
      </c>
      <c r="R70" s="14" t="n">
        <f aca="false">IF(L70&lt;0,2,IF(L70&lt;Assumptions!$B$4,1,0))</f>
        <v>0</v>
      </c>
      <c r="S70" s="14" t="n">
        <f aca="false">IF(O70&gt;Assumptions!$B$6,2,IF(O70&gt;Assumptions!$B$5,1,0))</f>
        <v>1</v>
      </c>
      <c r="T70" s="14" t="n">
        <f aca="false">IF(Q70&gt;Assumptions!$B$8,2,IF(Q70&gt;Assumptions!$B$7,1,0))</f>
        <v>0</v>
      </c>
      <c r="U70" s="14" t="n">
        <f aca="false">R70+S70+T70</f>
        <v>1</v>
      </c>
      <c r="V70" s="15" t="str">
        <f aca="false">IF(U70&gt;=Assumptions!$B$10,"High",IF(U70&gt;=Assumptions!$B$9,"Medium","Low"))</f>
        <v>Low</v>
      </c>
    </row>
    <row r="71" customFormat="false" ht="15" hidden="false" customHeight="false" outlineLevel="0" collapsed="false">
      <c r="A71" s="5" t="s">
        <v>190</v>
      </c>
      <c r="B71" s="5" t="s">
        <v>191</v>
      </c>
      <c r="C71" s="5" t="s">
        <v>20</v>
      </c>
      <c r="D71" s="5" t="s">
        <v>51</v>
      </c>
      <c r="E71" s="5" t="n">
        <v>30</v>
      </c>
      <c r="F71" s="5" t="n">
        <v>10</v>
      </c>
      <c r="G71" s="13" t="n">
        <v>2311100</v>
      </c>
      <c r="H71" s="13" t="n">
        <v>846060</v>
      </c>
      <c r="I71" s="13" t="n">
        <v>1465040</v>
      </c>
      <c r="J71" s="13" t="n">
        <v>0</v>
      </c>
      <c r="K71" s="13" t="n">
        <v>-36130</v>
      </c>
      <c r="L71" s="8" t="n">
        <v>-2.5</v>
      </c>
      <c r="M71" s="13" t="n">
        <v>0</v>
      </c>
      <c r="N71" s="13" t="n">
        <v>0</v>
      </c>
      <c r="O71" s="8" t="n">
        <v>26.5</v>
      </c>
      <c r="P71" s="8" t="n">
        <f aca="false">IFERROR(H71/G71*100,0)</f>
        <v>36.6085413872182</v>
      </c>
      <c r="Q71" s="8" t="n">
        <f aca="false">IFERROR(N71/I71*100,0)</f>
        <v>0</v>
      </c>
      <c r="R71" s="14" t="n">
        <f aca="false">IF(L71&lt;0,2,IF(L71&lt;Assumptions!$B$4,1,0))</f>
        <v>2</v>
      </c>
      <c r="S71" s="14" t="n">
        <f aca="false">IF(O71&gt;Assumptions!$B$6,2,IF(O71&gt;Assumptions!$B$5,1,0))</f>
        <v>1</v>
      </c>
      <c r="T71" s="14" t="n">
        <f aca="false">IF(Q71&gt;Assumptions!$B$8,2,IF(Q71&gt;Assumptions!$B$7,1,0))</f>
        <v>0</v>
      </c>
      <c r="U71" s="14" t="n">
        <f aca="false">R71+S71+T71</f>
        <v>3</v>
      </c>
      <c r="V71" s="15" t="str">
        <f aca="false">IF(U71&gt;=Assumptions!$B$10,"High",IF(U71&gt;=Assumptions!$B$9,"Medium","Low"))</f>
        <v>Medium</v>
      </c>
    </row>
    <row r="72" customFormat="false" ht="15" hidden="false" customHeight="false" outlineLevel="0" collapsed="false">
      <c r="A72" s="5" t="s">
        <v>192</v>
      </c>
      <c r="B72" s="5" t="s">
        <v>193</v>
      </c>
      <c r="C72" s="5" t="s">
        <v>20</v>
      </c>
      <c r="D72" s="5" t="s">
        <v>54</v>
      </c>
      <c r="E72" s="5" t="n">
        <v>30</v>
      </c>
      <c r="F72" s="5" t="n">
        <v>9</v>
      </c>
      <c r="G72" s="13" t="n">
        <v>1883500</v>
      </c>
      <c r="H72" s="13" t="n">
        <v>418960</v>
      </c>
      <c r="I72" s="13" t="n">
        <v>1464540</v>
      </c>
      <c r="J72" s="13" t="n">
        <v>21290</v>
      </c>
      <c r="K72" s="13" t="n">
        <v>161210</v>
      </c>
      <c r="L72" s="8" t="n">
        <v>11</v>
      </c>
      <c r="M72" s="13" t="n">
        <v>0</v>
      </c>
      <c r="N72" s="13" t="n">
        <v>0</v>
      </c>
      <c r="O72" s="8" t="n">
        <v>25.888888</v>
      </c>
      <c r="P72" s="8" t="n">
        <f aca="false">IFERROR(H72/G72*100,0)</f>
        <v>22.2436952482081</v>
      </c>
      <c r="Q72" s="8" t="n">
        <f aca="false">IFERROR(N72/I72*100,0)</f>
        <v>0</v>
      </c>
      <c r="R72" s="14" t="n">
        <f aca="false">IF(L72&lt;0,2,IF(L72&lt;Assumptions!$B$4,1,0))</f>
        <v>0</v>
      </c>
      <c r="S72" s="14" t="n">
        <f aca="false">IF(O72&gt;Assumptions!$B$6,2,IF(O72&gt;Assumptions!$B$5,1,0))</f>
        <v>1</v>
      </c>
      <c r="T72" s="14" t="n">
        <f aca="false">IF(Q72&gt;Assumptions!$B$8,2,IF(Q72&gt;Assumptions!$B$7,1,0))</f>
        <v>0</v>
      </c>
      <c r="U72" s="14" t="n">
        <f aca="false">R72+S72+T72</f>
        <v>1</v>
      </c>
      <c r="V72" s="15" t="str">
        <f aca="false">IF(U72&gt;=Assumptions!$B$10,"High",IF(U72&gt;=Assumptions!$B$9,"Medium","Low"))</f>
        <v>Low</v>
      </c>
    </row>
    <row r="73" customFormat="false" ht="15" hidden="false" customHeight="false" outlineLevel="0" collapsed="false">
      <c r="A73" s="5" t="s">
        <v>194</v>
      </c>
      <c r="B73" s="5" t="s">
        <v>195</v>
      </c>
      <c r="C73" s="5" t="s">
        <v>20</v>
      </c>
      <c r="D73" s="5" t="s">
        <v>54</v>
      </c>
      <c r="E73" s="5" t="n">
        <v>30</v>
      </c>
      <c r="F73" s="5" t="n">
        <v>4</v>
      </c>
      <c r="G73" s="13" t="n">
        <v>1649900</v>
      </c>
      <c r="H73" s="13" t="n">
        <v>218660</v>
      </c>
      <c r="I73" s="13" t="n">
        <v>1431240</v>
      </c>
      <c r="J73" s="13" t="n">
        <v>0</v>
      </c>
      <c r="K73" s="13" t="n">
        <v>247630</v>
      </c>
      <c r="L73" s="8" t="n">
        <v>17.3</v>
      </c>
      <c r="M73" s="13" t="n">
        <v>0</v>
      </c>
      <c r="N73" s="13" t="n">
        <v>0</v>
      </c>
      <c r="O73" s="8" t="n">
        <v>9.75</v>
      </c>
      <c r="P73" s="8" t="n">
        <f aca="false">IFERROR(H73/G73*100,0)</f>
        <v>13.2529244196618</v>
      </c>
      <c r="Q73" s="8" t="n">
        <f aca="false">IFERROR(N73/I73*100,0)</f>
        <v>0</v>
      </c>
      <c r="R73" s="14" t="n">
        <f aca="false">IF(L73&lt;0,2,IF(L73&lt;Assumptions!$B$4,1,0))</f>
        <v>0</v>
      </c>
      <c r="S73" s="14" t="n">
        <f aca="false">IF(O73&gt;Assumptions!$B$6,2,IF(O73&gt;Assumptions!$B$5,1,0))</f>
        <v>0</v>
      </c>
      <c r="T73" s="14" t="n">
        <f aca="false">IF(Q73&gt;Assumptions!$B$8,2,IF(Q73&gt;Assumptions!$B$7,1,0))</f>
        <v>0</v>
      </c>
      <c r="U73" s="14" t="n">
        <f aca="false">R73+S73+T73</f>
        <v>0</v>
      </c>
      <c r="V73" s="15" t="str">
        <f aca="false">IF(U73&gt;=Assumptions!$B$10,"High",IF(U73&gt;=Assumptions!$B$9,"Medium","Low"))</f>
        <v>Low</v>
      </c>
    </row>
    <row r="74" customFormat="false" ht="15" hidden="false" customHeight="false" outlineLevel="0" collapsed="false">
      <c r="A74" s="5" t="s">
        <v>196</v>
      </c>
      <c r="B74" s="5" t="s">
        <v>197</v>
      </c>
      <c r="C74" s="5" t="s">
        <v>20</v>
      </c>
      <c r="D74" s="5" t="s">
        <v>54</v>
      </c>
      <c r="E74" s="5" t="n">
        <v>14</v>
      </c>
      <c r="F74" s="5" t="n">
        <v>8</v>
      </c>
      <c r="G74" s="13" t="n">
        <v>1541300</v>
      </c>
      <c r="H74" s="13" t="n">
        <v>170110</v>
      </c>
      <c r="I74" s="13" t="n">
        <v>1371190</v>
      </c>
      <c r="J74" s="13" t="n">
        <v>77110</v>
      </c>
      <c r="K74" s="13" t="n">
        <v>240950</v>
      </c>
      <c r="L74" s="8" t="n">
        <v>17.6</v>
      </c>
      <c r="M74" s="13" t="n">
        <v>0</v>
      </c>
      <c r="N74" s="13" t="n">
        <v>0</v>
      </c>
      <c r="O74" s="8" t="n">
        <v>11.125</v>
      </c>
      <c r="P74" s="8" t="n">
        <f aca="false">IFERROR(H74/G74*100,0)</f>
        <v>11.0367871277493</v>
      </c>
      <c r="Q74" s="8" t="n">
        <f aca="false">IFERROR(N74/I74*100,0)</f>
        <v>0</v>
      </c>
      <c r="R74" s="14" t="n">
        <f aca="false">IF(L74&lt;0,2,IF(L74&lt;Assumptions!$B$4,1,0))</f>
        <v>0</v>
      </c>
      <c r="S74" s="14" t="n">
        <f aca="false">IF(O74&gt;Assumptions!$B$6,2,IF(O74&gt;Assumptions!$B$5,1,0))</f>
        <v>0</v>
      </c>
      <c r="T74" s="14" t="n">
        <f aca="false">IF(Q74&gt;Assumptions!$B$8,2,IF(Q74&gt;Assumptions!$B$7,1,0))</f>
        <v>0</v>
      </c>
      <c r="U74" s="14" t="n">
        <f aca="false">R74+S74+T74</f>
        <v>0</v>
      </c>
      <c r="V74" s="15" t="str">
        <f aca="false">IF(U74&gt;=Assumptions!$B$10,"High",IF(U74&gt;=Assumptions!$B$9,"Medium","Low"))</f>
        <v>Low</v>
      </c>
    </row>
    <row r="75" customFormat="false" ht="15" hidden="false" customHeight="false" outlineLevel="0" collapsed="false">
      <c r="A75" s="5" t="s">
        <v>198</v>
      </c>
      <c r="B75" s="5" t="s">
        <v>199</v>
      </c>
      <c r="C75" s="5" t="s">
        <v>21</v>
      </c>
      <c r="D75" s="5" t="s">
        <v>48</v>
      </c>
      <c r="E75" s="5" t="n">
        <v>14</v>
      </c>
      <c r="F75" s="5" t="n">
        <v>11</v>
      </c>
      <c r="G75" s="13" t="n">
        <v>1869800</v>
      </c>
      <c r="H75" s="13" t="n">
        <v>535740</v>
      </c>
      <c r="I75" s="13" t="n">
        <v>1334060</v>
      </c>
      <c r="J75" s="13" t="n">
        <v>90710</v>
      </c>
      <c r="K75" s="13" t="n">
        <v>-64990</v>
      </c>
      <c r="L75" s="8" t="n">
        <v>-4.9</v>
      </c>
      <c r="M75" s="13" t="n">
        <v>0</v>
      </c>
      <c r="N75" s="13" t="n">
        <v>0</v>
      </c>
      <c r="O75" s="8" t="n">
        <v>34.090909</v>
      </c>
      <c r="P75" s="8" t="n">
        <f aca="false">IFERROR(H75/G75*100,0)</f>
        <v>28.65226227404</v>
      </c>
      <c r="Q75" s="8" t="n">
        <f aca="false">IFERROR(N75/I75*100,0)</f>
        <v>0</v>
      </c>
      <c r="R75" s="14" t="n">
        <f aca="false">IF(L75&lt;0,2,IF(L75&lt;Assumptions!$B$4,1,0))</f>
        <v>2</v>
      </c>
      <c r="S75" s="14" t="n">
        <f aca="false">IF(O75&gt;Assumptions!$B$6,2,IF(O75&gt;Assumptions!$B$5,1,0))</f>
        <v>2</v>
      </c>
      <c r="T75" s="14" t="n">
        <f aca="false">IF(Q75&gt;Assumptions!$B$8,2,IF(Q75&gt;Assumptions!$B$7,1,0))</f>
        <v>0</v>
      </c>
      <c r="U75" s="14" t="n">
        <f aca="false">R75+S75+T75</f>
        <v>4</v>
      </c>
      <c r="V75" s="15" t="str">
        <f aca="false">IF(U75&gt;=Assumptions!$B$10,"High",IF(U75&gt;=Assumptions!$B$9,"Medium","Low"))</f>
        <v>High</v>
      </c>
    </row>
    <row r="76" customFormat="false" ht="15" hidden="false" customHeight="false" outlineLevel="0" collapsed="false">
      <c r="A76" s="5" t="s">
        <v>200</v>
      </c>
      <c r="B76" s="5" t="s">
        <v>201</v>
      </c>
      <c r="C76" s="5" t="s">
        <v>20</v>
      </c>
      <c r="D76" s="5" t="s">
        <v>57</v>
      </c>
      <c r="E76" s="5" t="n">
        <v>14</v>
      </c>
      <c r="F76" s="5" t="n">
        <v>8</v>
      </c>
      <c r="G76" s="13" t="n">
        <v>1519900</v>
      </c>
      <c r="H76" s="13" t="n">
        <v>212740</v>
      </c>
      <c r="I76" s="13" t="n">
        <v>1307160</v>
      </c>
      <c r="J76" s="13" t="n">
        <v>0</v>
      </c>
      <c r="K76" s="13" t="n">
        <v>78940</v>
      </c>
      <c r="L76" s="8" t="n">
        <v>6</v>
      </c>
      <c r="M76" s="13" t="n">
        <v>0</v>
      </c>
      <c r="N76" s="13" t="n">
        <v>0</v>
      </c>
      <c r="O76" s="8" t="n">
        <v>18.375</v>
      </c>
      <c r="P76" s="8" t="n">
        <f aca="false">IFERROR(H76/G76*100,0)</f>
        <v>13.9969734850977</v>
      </c>
      <c r="Q76" s="8" t="n">
        <f aca="false">IFERROR(N76/I76*100,0)</f>
        <v>0</v>
      </c>
      <c r="R76" s="14" t="n">
        <f aca="false">IF(L76&lt;0,2,IF(L76&lt;Assumptions!$B$4,1,0))</f>
        <v>0</v>
      </c>
      <c r="S76" s="14" t="n">
        <f aca="false">IF(O76&gt;Assumptions!$B$6,2,IF(O76&gt;Assumptions!$B$5,1,0))</f>
        <v>1</v>
      </c>
      <c r="T76" s="14" t="n">
        <f aca="false">IF(Q76&gt;Assumptions!$B$8,2,IF(Q76&gt;Assumptions!$B$7,1,0))</f>
        <v>0</v>
      </c>
      <c r="U76" s="14" t="n">
        <f aca="false">R76+S76+T76</f>
        <v>1</v>
      </c>
      <c r="V76" s="15" t="str">
        <f aca="false">IF(U76&gt;=Assumptions!$B$10,"High",IF(U76&gt;=Assumptions!$B$9,"Medium","Low"))</f>
        <v>Low</v>
      </c>
    </row>
    <row r="77" customFormat="false" ht="15" hidden="false" customHeight="false" outlineLevel="0" collapsed="false">
      <c r="A77" s="5" t="s">
        <v>202</v>
      </c>
      <c r="B77" s="5" t="s">
        <v>203</v>
      </c>
      <c r="C77" s="5" t="s">
        <v>21</v>
      </c>
      <c r="D77" s="5" t="s">
        <v>51</v>
      </c>
      <c r="E77" s="5" t="n">
        <v>14</v>
      </c>
      <c r="F77" s="5" t="n">
        <v>9</v>
      </c>
      <c r="G77" s="13" t="n">
        <v>1510700</v>
      </c>
      <c r="H77" s="13" t="n">
        <v>229210</v>
      </c>
      <c r="I77" s="13" t="n">
        <v>1281490</v>
      </c>
      <c r="J77" s="13" t="n">
        <v>91260</v>
      </c>
      <c r="K77" s="13" t="n">
        <v>-21030</v>
      </c>
      <c r="L77" s="8" t="n">
        <v>-1.6</v>
      </c>
      <c r="M77" s="13" t="n">
        <v>0</v>
      </c>
      <c r="N77" s="13" t="n">
        <v>0</v>
      </c>
      <c r="O77" s="8" t="n">
        <v>2.666666</v>
      </c>
      <c r="P77" s="8" t="n">
        <f aca="false">IFERROR(H77/G77*100,0)</f>
        <v>15.172436618786</v>
      </c>
      <c r="Q77" s="8" t="n">
        <f aca="false">IFERROR(N77/I77*100,0)</f>
        <v>0</v>
      </c>
      <c r="R77" s="14" t="n">
        <f aca="false">IF(L77&lt;0,2,IF(L77&lt;Assumptions!$B$4,1,0))</f>
        <v>2</v>
      </c>
      <c r="S77" s="14" t="n">
        <f aca="false">IF(O77&gt;Assumptions!$B$6,2,IF(O77&gt;Assumptions!$B$5,1,0))</f>
        <v>0</v>
      </c>
      <c r="T77" s="14" t="n">
        <f aca="false">IF(Q77&gt;Assumptions!$B$8,2,IF(Q77&gt;Assumptions!$B$7,1,0))</f>
        <v>0</v>
      </c>
      <c r="U77" s="14" t="n">
        <f aca="false">R77+S77+T77</f>
        <v>2</v>
      </c>
      <c r="V77" s="15" t="str">
        <f aca="false">IF(U77&gt;=Assumptions!$B$10,"High",IF(U77&gt;=Assumptions!$B$9,"Medium","Low"))</f>
        <v>Medium</v>
      </c>
    </row>
    <row r="78" customFormat="false" ht="15" hidden="false" customHeight="false" outlineLevel="0" collapsed="false">
      <c r="A78" s="5" t="s">
        <v>204</v>
      </c>
      <c r="B78" s="5" t="s">
        <v>205</v>
      </c>
      <c r="C78" s="5" t="s">
        <v>20</v>
      </c>
      <c r="D78" s="5" t="s">
        <v>54</v>
      </c>
      <c r="E78" s="5" t="n">
        <v>30</v>
      </c>
      <c r="F78" s="5" t="n">
        <v>9</v>
      </c>
      <c r="G78" s="13" t="n">
        <v>1720500</v>
      </c>
      <c r="H78" s="13" t="n">
        <v>439010</v>
      </c>
      <c r="I78" s="13" t="n">
        <v>1281490</v>
      </c>
      <c r="J78" s="13" t="n">
        <v>62390</v>
      </c>
      <c r="K78" s="13" t="n">
        <v>-170510</v>
      </c>
      <c r="L78" s="8" t="n">
        <v>-13.3</v>
      </c>
      <c r="M78" s="13" t="n">
        <v>233380</v>
      </c>
      <c r="N78" s="13" t="n">
        <v>233380</v>
      </c>
      <c r="O78" s="8" t="n">
        <v>22.875</v>
      </c>
      <c r="P78" s="8" t="n">
        <f aca="false">IFERROR(H78/G78*100,0)</f>
        <v>25.5164196454519</v>
      </c>
      <c r="Q78" s="8" t="n">
        <f aca="false">IFERROR(N78/I78*100,0)</f>
        <v>18.2116130441908</v>
      </c>
      <c r="R78" s="14" t="n">
        <f aca="false">IF(L78&lt;0,2,IF(L78&lt;Assumptions!$B$4,1,0))</f>
        <v>2</v>
      </c>
      <c r="S78" s="14" t="n">
        <f aca="false">IF(O78&gt;Assumptions!$B$6,2,IF(O78&gt;Assumptions!$B$5,1,0))</f>
        <v>1</v>
      </c>
      <c r="T78" s="14" t="n">
        <f aca="false">IF(Q78&gt;Assumptions!$B$8,2,IF(Q78&gt;Assumptions!$B$7,1,0))</f>
        <v>1</v>
      </c>
      <c r="U78" s="14" t="n">
        <f aca="false">R78+S78+T78</f>
        <v>4</v>
      </c>
      <c r="V78" s="15" t="str">
        <f aca="false">IF(U78&gt;=Assumptions!$B$10,"High",IF(U78&gt;=Assumptions!$B$9,"Medium","Low"))</f>
        <v>High</v>
      </c>
    </row>
    <row r="79" customFormat="false" ht="15" hidden="false" customHeight="false" outlineLevel="0" collapsed="false">
      <c r="A79" s="5" t="s">
        <v>206</v>
      </c>
      <c r="B79" s="5" t="s">
        <v>207</v>
      </c>
      <c r="C79" s="5" t="s">
        <v>20</v>
      </c>
      <c r="D79" s="5" t="s">
        <v>54</v>
      </c>
      <c r="E79" s="5" t="n">
        <v>30</v>
      </c>
      <c r="F79" s="5" t="n">
        <v>8</v>
      </c>
      <c r="G79" s="13" t="n">
        <v>1597800</v>
      </c>
      <c r="H79" s="13" t="n">
        <v>347300</v>
      </c>
      <c r="I79" s="13" t="n">
        <v>1250500</v>
      </c>
      <c r="J79" s="13" t="n">
        <v>0</v>
      </c>
      <c r="K79" s="13" t="n">
        <v>13100</v>
      </c>
      <c r="L79" s="8" t="n">
        <v>1</v>
      </c>
      <c r="M79" s="13" t="n">
        <v>91960</v>
      </c>
      <c r="N79" s="13" t="n">
        <v>91960</v>
      </c>
      <c r="O79" s="8" t="n">
        <v>13.285714</v>
      </c>
      <c r="P79" s="8" t="n">
        <f aca="false">IFERROR(H79/G79*100,0)</f>
        <v>21.7361371886344</v>
      </c>
      <c r="Q79" s="8" t="n">
        <f aca="false">IFERROR(N79/I79*100,0)</f>
        <v>7.35385845661735</v>
      </c>
      <c r="R79" s="14" t="n">
        <f aca="false">IF(L79&lt;0,2,IF(L79&lt;Assumptions!$B$4,1,0))</f>
        <v>1</v>
      </c>
      <c r="S79" s="14" t="n">
        <f aca="false">IF(O79&gt;Assumptions!$B$6,2,IF(O79&gt;Assumptions!$B$5,1,0))</f>
        <v>0</v>
      </c>
      <c r="T79" s="14" t="n">
        <f aca="false">IF(Q79&gt;Assumptions!$B$8,2,IF(Q79&gt;Assumptions!$B$7,1,0))</f>
        <v>0</v>
      </c>
      <c r="U79" s="14" t="n">
        <f aca="false">R79+S79+T79</f>
        <v>1</v>
      </c>
      <c r="V79" s="15" t="str">
        <f aca="false">IF(U79&gt;=Assumptions!$B$10,"High",IF(U79&gt;=Assumptions!$B$9,"Medium","Low"))</f>
        <v>Low</v>
      </c>
    </row>
    <row r="80" customFormat="false" ht="15" hidden="false" customHeight="false" outlineLevel="0" collapsed="false">
      <c r="A80" s="5" t="s">
        <v>208</v>
      </c>
      <c r="B80" s="5" t="s">
        <v>209</v>
      </c>
      <c r="C80" s="5" t="s">
        <v>21</v>
      </c>
      <c r="D80" s="5" t="s">
        <v>93</v>
      </c>
      <c r="E80" s="5" t="n">
        <v>14</v>
      </c>
      <c r="F80" s="5" t="n">
        <v>8</v>
      </c>
      <c r="G80" s="13" t="n">
        <v>1356900</v>
      </c>
      <c r="H80" s="13" t="n">
        <v>163400</v>
      </c>
      <c r="I80" s="13" t="n">
        <v>1193500</v>
      </c>
      <c r="J80" s="13" t="n">
        <v>0</v>
      </c>
      <c r="K80" s="13" t="n">
        <v>235170</v>
      </c>
      <c r="L80" s="8" t="n">
        <v>19.7</v>
      </c>
      <c r="M80" s="13" t="n">
        <v>97420</v>
      </c>
      <c r="N80" s="13" t="n">
        <v>97420</v>
      </c>
      <c r="O80" s="8" t="n">
        <v>22.857142</v>
      </c>
      <c r="P80" s="8" t="n">
        <f aca="false">IFERROR(H80/G80*100,0)</f>
        <v>12.0421549119316</v>
      </c>
      <c r="Q80" s="8" t="n">
        <f aca="false">IFERROR(N80/I80*100,0)</f>
        <v>8.16254713028907</v>
      </c>
      <c r="R80" s="14" t="n">
        <f aca="false">IF(L80&lt;0,2,IF(L80&lt;Assumptions!$B$4,1,0))</f>
        <v>0</v>
      </c>
      <c r="S80" s="14" t="n">
        <f aca="false">IF(O80&gt;Assumptions!$B$6,2,IF(O80&gt;Assumptions!$B$5,1,0))</f>
        <v>1</v>
      </c>
      <c r="T80" s="14" t="n">
        <f aca="false">IF(Q80&gt;Assumptions!$B$8,2,IF(Q80&gt;Assumptions!$B$7,1,0))</f>
        <v>0</v>
      </c>
      <c r="U80" s="14" t="n">
        <f aca="false">R80+S80+T80</f>
        <v>1</v>
      </c>
      <c r="V80" s="15" t="str">
        <f aca="false">IF(U80&gt;=Assumptions!$B$10,"High",IF(U80&gt;=Assumptions!$B$9,"Medium","Low"))</f>
        <v>Low</v>
      </c>
    </row>
    <row r="81" customFormat="false" ht="15" hidden="false" customHeight="false" outlineLevel="0" collapsed="false">
      <c r="A81" s="5" t="s">
        <v>210</v>
      </c>
      <c r="B81" s="5" t="s">
        <v>211</v>
      </c>
      <c r="C81" s="5" t="s">
        <v>20</v>
      </c>
      <c r="D81" s="5" t="s">
        <v>86</v>
      </c>
      <c r="E81" s="5" t="n">
        <v>14</v>
      </c>
      <c r="F81" s="5" t="n">
        <v>11</v>
      </c>
      <c r="G81" s="13" t="n">
        <v>1444600</v>
      </c>
      <c r="H81" s="13" t="n">
        <v>286830</v>
      </c>
      <c r="I81" s="13" t="n">
        <v>1157770</v>
      </c>
      <c r="J81" s="13" t="n">
        <v>0</v>
      </c>
      <c r="K81" s="13" t="n">
        <v>113820</v>
      </c>
      <c r="L81" s="8" t="n">
        <v>9.8</v>
      </c>
      <c r="M81" s="13" t="n">
        <v>0</v>
      </c>
      <c r="N81" s="13" t="n">
        <v>0</v>
      </c>
      <c r="O81" s="8" t="n">
        <v>10.727272</v>
      </c>
      <c r="P81" s="8" t="n">
        <f aca="false">IFERROR(H81/G81*100,0)</f>
        <v>19.8553232728783</v>
      </c>
      <c r="Q81" s="8" t="n">
        <f aca="false">IFERROR(N81/I81*100,0)</f>
        <v>0</v>
      </c>
      <c r="R81" s="14" t="n">
        <f aca="false">IF(L81&lt;0,2,IF(L81&lt;Assumptions!$B$4,1,0))</f>
        <v>0</v>
      </c>
      <c r="S81" s="14" t="n">
        <f aca="false">IF(O81&gt;Assumptions!$B$6,2,IF(O81&gt;Assumptions!$B$5,1,0))</f>
        <v>0</v>
      </c>
      <c r="T81" s="14" t="n">
        <f aca="false">IF(Q81&gt;Assumptions!$B$8,2,IF(Q81&gt;Assumptions!$B$7,1,0))</f>
        <v>0</v>
      </c>
      <c r="U81" s="14" t="n">
        <f aca="false">R81+S81+T81</f>
        <v>0</v>
      </c>
      <c r="V81" s="15" t="str">
        <f aca="false">IF(U81&gt;=Assumptions!$B$10,"High",IF(U81&gt;=Assumptions!$B$9,"Medium","Low"))</f>
        <v>Low</v>
      </c>
    </row>
    <row r="82" customFormat="false" ht="15" hidden="false" customHeight="false" outlineLevel="0" collapsed="false">
      <c r="A82" s="5" t="s">
        <v>212</v>
      </c>
      <c r="B82" s="5" t="s">
        <v>213</v>
      </c>
      <c r="C82" s="5" t="s">
        <v>20</v>
      </c>
      <c r="D82" s="5" t="s">
        <v>54</v>
      </c>
      <c r="E82" s="5" t="n">
        <v>30</v>
      </c>
      <c r="F82" s="5" t="n">
        <v>9</v>
      </c>
      <c r="G82" s="13" t="n">
        <v>1399500</v>
      </c>
      <c r="H82" s="13" t="n">
        <v>243250</v>
      </c>
      <c r="I82" s="13" t="n">
        <v>1156250</v>
      </c>
      <c r="J82" s="13" t="n">
        <v>0</v>
      </c>
      <c r="K82" s="13" t="n">
        <v>107260</v>
      </c>
      <c r="L82" s="8" t="n">
        <v>9.3</v>
      </c>
      <c r="M82" s="13" t="n">
        <v>121900</v>
      </c>
      <c r="N82" s="13" t="n">
        <v>121900</v>
      </c>
      <c r="O82" s="8" t="n">
        <v>21.625</v>
      </c>
      <c r="P82" s="8" t="n">
        <f aca="false">IFERROR(H82/G82*100,0)</f>
        <v>17.3812075741336</v>
      </c>
      <c r="Q82" s="8" t="n">
        <f aca="false">IFERROR(N82/I82*100,0)</f>
        <v>10.5427027027027</v>
      </c>
      <c r="R82" s="14" t="n">
        <f aca="false">IF(L82&lt;0,2,IF(L82&lt;Assumptions!$B$4,1,0))</f>
        <v>0</v>
      </c>
      <c r="S82" s="14" t="n">
        <f aca="false">IF(O82&gt;Assumptions!$B$6,2,IF(O82&gt;Assumptions!$B$5,1,0))</f>
        <v>1</v>
      </c>
      <c r="T82" s="14" t="n">
        <f aca="false">IF(Q82&gt;Assumptions!$B$8,2,IF(Q82&gt;Assumptions!$B$7,1,0))</f>
        <v>1</v>
      </c>
      <c r="U82" s="14" t="n">
        <f aca="false">R82+S82+T82</f>
        <v>2</v>
      </c>
      <c r="V82" s="15" t="str">
        <f aca="false">IF(U82&gt;=Assumptions!$B$10,"High",IF(U82&gt;=Assumptions!$B$9,"Medium","Low"))</f>
        <v>Medium</v>
      </c>
    </row>
    <row r="83" customFormat="false" ht="15" hidden="false" customHeight="false" outlineLevel="0" collapsed="false">
      <c r="A83" s="5" t="s">
        <v>214</v>
      </c>
      <c r="B83" s="5" t="s">
        <v>215</v>
      </c>
      <c r="C83" s="5" t="s">
        <v>21</v>
      </c>
      <c r="D83" s="5" t="s">
        <v>86</v>
      </c>
      <c r="E83" s="5" t="n">
        <v>0</v>
      </c>
      <c r="F83" s="5" t="n">
        <v>6</v>
      </c>
      <c r="G83" s="13" t="n">
        <v>1209000</v>
      </c>
      <c r="H83" s="13" t="n">
        <v>97300</v>
      </c>
      <c r="I83" s="13" t="n">
        <v>1111700</v>
      </c>
      <c r="J83" s="13" t="n">
        <v>0</v>
      </c>
      <c r="K83" s="13" t="n">
        <v>250180</v>
      </c>
      <c r="L83" s="8" t="n">
        <v>22.5</v>
      </c>
      <c r="M83" s="13" t="n">
        <v>428830</v>
      </c>
      <c r="N83" s="13" t="n">
        <v>428830</v>
      </c>
      <c r="O83" s="8" t="n">
        <v>26.25</v>
      </c>
      <c r="P83" s="8" t="n">
        <f aca="false">IFERROR(H83/G83*100,0)</f>
        <v>8.0479735318445</v>
      </c>
      <c r="Q83" s="8" t="n">
        <f aca="false">IFERROR(N83/I83*100,0)</f>
        <v>38.5742556445084</v>
      </c>
      <c r="R83" s="14" t="n">
        <f aca="false">IF(L83&lt;0,2,IF(L83&lt;Assumptions!$B$4,1,0))</f>
        <v>0</v>
      </c>
      <c r="S83" s="14" t="n">
        <f aca="false">IF(O83&gt;Assumptions!$B$6,2,IF(O83&gt;Assumptions!$B$5,1,0))</f>
        <v>1</v>
      </c>
      <c r="T83" s="14" t="n">
        <f aca="false">IF(Q83&gt;Assumptions!$B$8,2,IF(Q83&gt;Assumptions!$B$7,1,0))</f>
        <v>2</v>
      </c>
      <c r="U83" s="14" t="n">
        <f aca="false">R83+S83+T83</f>
        <v>3</v>
      </c>
      <c r="V83" s="15" t="str">
        <f aca="false">IF(U83&gt;=Assumptions!$B$10,"High",IF(U83&gt;=Assumptions!$B$9,"Medium","Low"))</f>
        <v>Medium</v>
      </c>
    </row>
    <row r="84" customFormat="false" ht="15" hidden="false" customHeight="false" outlineLevel="0" collapsed="false">
      <c r="A84" s="5" t="s">
        <v>216</v>
      </c>
      <c r="B84" s="5" t="s">
        <v>217</v>
      </c>
      <c r="C84" s="5" t="s">
        <v>21</v>
      </c>
      <c r="D84" s="5" t="s">
        <v>51</v>
      </c>
      <c r="E84" s="5" t="n">
        <v>14</v>
      </c>
      <c r="F84" s="5" t="n">
        <v>10</v>
      </c>
      <c r="G84" s="13" t="n">
        <v>1200300</v>
      </c>
      <c r="H84" s="13" t="n">
        <v>115700</v>
      </c>
      <c r="I84" s="13" t="n">
        <v>1084600</v>
      </c>
      <c r="J84" s="13" t="n">
        <v>20250</v>
      </c>
      <c r="K84" s="13" t="n">
        <v>238390</v>
      </c>
      <c r="L84" s="8" t="n">
        <v>22</v>
      </c>
      <c r="M84" s="13" t="n">
        <v>37820</v>
      </c>
      <c r="N84" s="13" t="n">
        <v>37820</v>
      </c>
      <c r="O84" s="8" t="n">
        <v>12.6</v>
      </c>
      <c r="P84" s="8" t="n">
        <f aca="false">IFERROR(H84/G84*100,0)</f>
        <v>9.63925685245355</v>
      </c>
      <c r="Q84" s="8" t="n">
        <f aca="false">IFERROR(N84/I84*100,0)</f>
        <v>3.48699981560022</v>
      </c>
      <c r="R84" s="14" t="n">
        <f aca="false">IF(L84&lt;0,2,IF(L84&lt;Assumptions!$B$4,1,0))</f>
        <v>0</v>
      </c>
      <c r="S84" s="14" t="n">
        <f aca="false">IF(O84&gt;Assumptions!$B$6,2,IF(O84&gt;Assumptions!$B$5,1,0))</f>
        <v>0</v>
      </c>
      <c r="T84" s="14" t="n">
        <f aca="false">IF(Q84&gt;Assumptions!$B$8,2,IF(Q84&gt;Assumptions!$B$7,1,0))</f>
        <v>0</v>
      </c>
      <c r="U84" s="14" t="n">
        <f aca="false">R84+S84+T84</f>
        <v>0</v>
      </c>
      <c r="V84" s="15" t="str">
        <f aca="false">IF(U84&gt;=Assumptions!$B$10,"High",IF(U84&gt;=Assumptions!$B$9,"Medium","Low"))</f>
        <v>Low</v>
      </c>
    </row>
    <row r="85" customFormat="false" ht="15" hidden="false" customHeight="false" outlineLevel="0" collapsed="false">
      <c r="A85" s="5" t="s">
        <v>218</v>
      </c>
      <c r="B85" s="5" t="s">
        <v>219</v>
      </c>
      <c r="C85" s="5" t="s">
        <v>21</v>
      </c>
      <c r="D85" s="5" t="s">
        <v>51</v>
      </c>
      <c r="E85" s="5" t="n">
        <v>14</v>
      </c>
      <c r="F85" s="5" t="n">
        <v>7</v>
      </c>
      <c r="G85" s="13" t="n">
        <v>1217200</v>
      </c>
      <c r="H85" s="13" t="n">
        <v>149930</v>
      </c>
      <c r="I85" s="13" t="n">
        <v>1067270</v>
      </c>
      <c r="J85" s="13" t="n">
        <v>0</v>
      </c>
      <c r="K85" s="13" t="n">
        <v>210420</v>
      </c>
      <c r="L85" s="8" t="n">
        <v>19.7</v>
      </c>
      <c r="M85" s="13" t="n">
        <v>0</v>
      </c>
      <c r="N85" s="13" t="n">
        <v>0</v>
      </c>
      <c r="O85" s="8" t="n">
        <v>12.571428</v>
      </c>
      <c r="P85" s="8" t="n">
        <f aca="false">IFERROR(H85/G85*100,0)</f>
        <v>12.3176141965166</v>
      </c>
      <c r="Q85" s="8" t="n">
        <f aca="false">IFERROR(N85/I85*100,0)</f>
        <v>0</v>
      </c>
      <c r="R85" s="14" t="n">
        <f aca="false">IF(L85&lt;0,2,IF(L85&lt;Assumptions!$B$4,1,0))</f>
        <v>0</v>
      </c>
      <c r="S85" s="14" t="n">
        <f aca="false">IF(O85&gt;Assumptions!$B$6,2,IF(O85&gt;Assumptions!$B$5,1,0))</f>
        <v>0</v>
      </c>
      <c r="T85" s="14" t="n">
        <f aca="false">IF(Q85&gt;Assumptions!$B$8,2,IF(Q85&gt;Assumptions!$B$7,1,0))</f>
        <v>0</v>
      </c>
      <c r="U85" s="14" t="n">
        <f aca="false">R85+S85+T85</f>
        <v>0</v>
      </c>
      <c r="V85" s="15" t="str">
        <f aca="false">IF(U85&gt;=Assumptions!$B$10,"High",IF(U85&gt;=Assumptions!$B$9,"Medium","Low"))</f>
        <v>Low</v>
      </c>
    </row>
    <row r="86" customFormat="false" ht="15" hidden="false" customHeight="false" outlineLevel="0" collapsed="false">
      <c r="A86" s="5" t="s">
        <v>220</v>
      </c>
      <c r="B86" s="5" t="s">
        <v>221</v>
      </c>
      <c r="C86" s="5" t="s">
        <v>21</v>
      </c>
      <c r="D86" s="5" t="s">
        <v>54</v>
      </c>
      <c r="E86" s="5" t="n">
        <v>0</v>
      </c>
      <c r="F86" s="5" t="n">
        <v>6</v>
      </c>
      <c r="G86" s="13" t="n">
        <v>1452700</v>
      </c>
      <c r="H86" s="13" t="n">
        <v>388740</v>
      </c>
      <c r="I86" s="13" t="n">
        <v>1063960</v>
      </c>
      <c r="J86" s="13" t="n">
        <v>0</v>
      </c>
      <c r="K86" s="13" t="n">
        <v>-28610</v>
      </c>
      <c r="L86" s="8" t="n">
        <v>-2.7</v>
      </c>
      <c r="M86" s="13" t="n">
        <v>0</v>
      </c>
      <c r="N86" s="13" t="n">
        <v>0</v>
      </c>
      <c r="O86" s="8" t="n">
        <v>39.666666</v>
      </c>
      <c r="P86" s="8" t="n">
        <f aca="false">IFERROR(H86/G86*100,0)</f>
        <v>26.7598265299098</v>
      </c>
      <c r="Q86" s="8" t="n">
        <f aca="false">IFERROR(N86/I86*100,0)</f>
        <v>0</v>
      </c>
      <c r="R86" s="14" t="n">
        <f aca="false">IF(L86&lt;0,2,IF(L86&lt;Assumptions!$B$4,1,0))</f>
        <v>2</v>
      </c>
      <c r="S86" s="14" t="n">
        <f aca="false">IF(O86&gt;Assumptions!$B$6,2,IF(O86&gt;Assumptions!$B$5,1,0))</f>
        <v>2</v>
      </c>
      <c r="T86" s="14" t="n">
        <f aca="false">IF(Q86&gt;Assumptions!$B$8,2,IF(Q86&gt;Assumptions!$B$7,1,0))</f>
        <v>0</v>
      </c>
      <c r="U86" s="14" t="n">
        <f aca="false">R86+S86+T86</f>
        <v>4</v>
      </c>
      <c r="V86" s="15" t="str">
        <f aca="false">IF(U86&gt;=Assumptions!$B$10,"High",IF(U86&gt;=Assumptions!$B$9,"Medium","Low"))</f>
        <v>High</v>
      </c>
    </row>
    <row r="87" customFormat="false" ht="15" hidden="false" customHeight="false" outlineLevel="0" collapsed="false">
      <c r="A87" s="5" t="s">
        <v>222</v>
      </c>
      <c r="B87" s="5" t="s">
        <v>223</v>
      </c>
      <c r="C87" s="5" t="s">
        <v>20</v>
      </c>
      <c r="D87" s="5" t="s">
        <v>86</v>
      </c>
      <c r="E87" s="5" t="n">
        <v>30</v>
      </c>
      <c r="F87" s="5" t="n">
        <v>5</v>
      </c>
      <c r="G87" s="13" t="n">
        <v>1104600</v>
      </c>
      <c r="H87" s="13" t="n">
        <v>47620</v>
      </c>
      <c r="I87" s="13" t="n">
        <v>1056980</v>
      </c>
      <c r="J87" s="13" t="n">
        <v>0</v>
      </c>
      <c r="K87" s="13" t="n">
        <v>214710</v>
      </c>
      <c r="L87" s="8" t="n">
        <v>20.3</v>
      </c>
      <c r="M87" s="13" t="n">
        <v>38610</v>
      </c>
      <c r="N87" s="13" t="n">
        <v>38610</v>
      </c>
      <c r="O87" s="8" t="n">
        <v>3.8</v>
      </c>
      <c r="P87" s="8" t="n">
        <f aca="false">IFERROR(H87/G87*100,0)</f>
        <v>4.31106282817309</v>
      </c>
      <c r="Q87" s="8" t="n">
        <f aca="false">IFERROR(N87/I87*100,0)</f>
        <v>3.65286003519461</v>
      </c>
      <c r="R87" s="14" t="n">
        <f aca="false">IF(L87&lt;0,2,IF(L87&lt;Assumptions!$B$4,1,0))</f>
        <v>0</v>
      </c>
      <c r="S87" s="14" t="n">
        <f aca="false">IF(O87&gt;Assumptions!$B$6,2,IF(O87&gt;Assumptions!$B$5,1,0))</f>
        <v>0</v>
      </c>
      <c r="T87" s="14" t="n">
        <f aca="false">IF(Q87&gt;Assumptions!$B$8,2,IF(Q87&gt;Assumptions!$B$7,1,0))</f>
        <v>0</v>
      </c>
      <c r="U87" s="14" t="n">
        <f aca="false">R87+S87+T87</f>
        <v>0</v>
      </c>
      <c r="V87" s="15" t="str">
        <f aca="false">IF(U87&gt;=Assumptions!$B$10,"High",IF(U87&gt;=Assumptions!$B$9,"Medium","Low"))</f>
        <v>Low</v>
      </c>
    </row>
    <row r="88" customFormat="false" ht="15" hidden="false" customHeight="false" outlineLevel="0" collapsed="false">
      <c r="A88" s="5" t="s">
        <v>224</v>
      </c>
      <c r="B88" s="5" t="s">
        <v>225</v>
      </c>
      <c r="C88" s="5" t="s">
        <v>21</v>
      </c>
      <c r="D88" s="5" t="s">
        <v>51</v>
      </c>
      <c r="E88" s="5" t="n">
        <v>0</v>
      </c>
      <c r="F88" s="5" t="n">
        <v>10</v>
      </c>
      <c r="G88" s="13" t="n">
        <v>1082900</v>
      </c>
      <c r="H88" s="13" t="n">
        <v>63610</v>
      </c>
      <c r="I88" s="13" t="n">
        <v>1019290</v>
      </c>
      <c r="J88" s="13" t="n">
        <v>62240</v>
      </c>
      <c r="K88" s="13" t="n">
        <v>148780</v>
      </c>
      <c r="L88" s="8" t="n">
        <v>14.6</v>
      </c>
      <c r="M88" s="13" t="n">
        <v>79310</v>
      </c>
      <c r="N88" s="13" t="n">
        <v>79310</v>
      </c>
      <c r="O88" s="8" t="n">
        <v>6</v>
      </c>
      <c r="P88" s="8" t="n">
        <f aca="false">IFERROR(H88/G88*100,0)</f>
        <v>5.87404192446209</v>
      </c>
      <c r="Q88" s="8" t="n">
        <f aca="false">IFERROR(N88/I88*100,0)</f>
        <v>7.78090631714233</v>
      </c>
      <c r="R88" s="14" t="n">
        <f aca="false">IF(L88&lt;0,2,IF(L88&lt;Assumptions!$B$4,1,0))</f>
        <v>0</v>
      </c>
      <c r="S88" s="14" t="n">
        <f aca="false">IF(O88&gt;Assumptions!$B$6,2,IF(O88&gt;Assumptions!$B$5,1,0))</f>
        <v>0</v>
      </c>
      <c r="T88" s="14" t="n">
        <f aca="false">IF(Q88&gt;Assumptions!$B$8,2,IF(Q88&gt;Assumptions!$B$7,1,0))</f>
        <v>0</v>
      </c>
      <c r="U88" s="14" t="n">
        <f aca="false">R88+S88+T88</f>
        <v>0</v>
      </c>
      <c r="V88" s="15" t="str">
        <f aca="false">IF(U88&gt;=Assumptions!$B$10,"High",IF(U88&gt;=Assumptions!$B$9,"Medium","Low"))</f>
        <v>Low</v>
      </c>
    </row>
    <row r="89" customFormat="false" ht="15" hidden="false" customHeight="false" outlineLevel="0" collapsed="false">
      <c r="A89" s="5" t="s">
        <v>226</v>
      </c>
      <c r="B89" s="5" t="s">
        <v>227</v>
      </c>
      <c r="C89" s="5" t="s">
        <v>20</v>
      </c>
      <c r="D89" s="5" t="s">
        <v>86</v>
      </c>
      <c r="E89" s="5" t="n">
        <v>14</v>
      </c>
      <c r="F89" s="5" t="n">
        <v>8</v>
      </c>
      <c r="G89" s="13" t="n">
        <v>1084100</v>
      </c>
      <c r="H89" s="13" t="n">
        <v>85270</v>
      </c>
      <c r="I89" s="13" t="n">
        <v>998830</v>
      </c>
      <c r="J89" s="13" t="n">
        <v>0</v>
      </c>
      <c r="K89" s="13" t="n">
        <v>249910</v>
      </c>
      <c r="L89" s="8" t="n">
        <v>25</v>
      </c>
      <c r="M89" s="13" t="n">
        <v>36060</v>
      </c>
      <c r="N89" s="13" t="n">
        <v>36060</v>
      </c>
      <c r="O89" s="8" t="n">
        <v>14</v>
      </c>
      <c r="P89" s="8" t="n">
        <f aca="false">IFERROR(H89/G89*100,0)</f>
        <v>7.8655105617563</v>
      </c>
      <c r="Q89" s="8" t="n">
        <f aca="false">IFERROR(N89/I89*100,0)</f>
        <v>3.61022396203558</v>
      </c>
      <c r="R89" s="14" t="n">
        <f aca="false">IF(L89&lt;0,2,IF(L89&lt;Assumptions!$B$4,1,0))</f>
        <v>0</v>
      </c>
      <c r="S89" s="14" t="n">
        <f aca="false">IF(O89&gt;Assumptions!$B$6,2,IF(O89&gt;Assumptions!$B$5,1,0))</f>
        <v>0</v>
      </c>
      <c r="T89" s="14" t="n">
        <f aca="false">IF(Q89&gt;Assumptions!$B$8,2,IF(Q89&gt;Assumptions!$B$7,1,0))</f>
        <v>0</v>
      </c>
      <c r="U89" s="14" t="n">
        <f aca="false">R89+S89+T89</f>
        <v>0</v>
      </c>
      <c r="V89" s="15" t="str">
        <f aca="false">IF(U89&gt;=Assumptions!$B$10,"High",IF(U89&gt;=Assumptions!$B$9,"Medium","Low"))</f>
        <v>Low</v>
      </c>
    </row>
    <row r="90" customFormat="false" ht="15" hidden="false" customHeight="false" outlineLevel="0" collapsed="false">
      <c r="A90" s="5" t="s">
        <v>228</v>
      </c>
      <c r="B90" s="5" t="s">
        <v>229</v>
      </c>
      <c r="C90" s="5" t="s">
        <v>21</v>
      </c>
      <c r="D90" s="5" t="s">
        <v>54</v>
      </c>
      <c r="E90" s="5" t="n">
        <v>14</v>
      </c>
      <c r="F90" s="5" t="n">
        <v>8</v>
      </c>
      <c r="G90" s="13" t="n">
        <v>1334700</v>
      </c>
      <c r="H90" s="13" t="n">
        <v>414260</v>
      </c>
      <c r="I90" s="13" t="n">
        <v>920440</v>
      </c>
      <c r="J90" s="13" t="n">
        <v>166650</v>
      </c>
      <c r="K90" s="13" t="n">
        <v>-121910</v>
      </c>
      <c r="L90" s="8" t="n">
        <v>-13.2</v>
      </c>
      <c r="M90" s="13" t="n">
        <v>0</v>
      </c>
      <c r="N90" s="13" t="n">
        <v>0</v>
      </c>
      <c r="O90" s="8" t="n">
        <v>5.25</v>
      </c>
      <c r="P90" s="8" t="n">
        <f aca="false">IFERROR(H90/G90*100,0)</f>
        <v>31.0376863714692</v>
      </c>
      <c r="Q90" s="8" t="n">
        <f aca="false">IFERROR(N90/I90*100,0)</f>
        <v>0</v>
      </c>
      <c r="R90" s="14" t="n">
        <f aca="false">IF(L90&lt;0,2,IF(L90&lt;Assumptions!$B$4,1,0))</f>
        <v>2</v>
      </c>
      <c r="S90" s="14" t="n">
        <f aca="false">IF(O90&gt;Assumptions!$B$6,2,IF(O90&gt;Assumptions!$B$5,1,0))</f>
        <v>0</v>
      </c>
      <c r="T90" s="14" t="n">
        <f aca="false">IF(Q90&gt;Assumptions!$B$8,2,IF(Q90&gt;Assumptions!$B$7,1,0))</f>
        <v>0</v>
      </c>
      <c r="U90" s="14" t="n">
        <f aca="false">R90+S90+T90</f>
        <v>2</v>
      </c>
      <c r="V90" s="15" t="str">
        <f aca="false">IF(U90&gt;=Assumptions!$B$10,"High",IF(U90&gt;=Assumptions!$B$9,"Medium","Low"))</f>
        <v>Medium</v>
      </c>
    </row>
    <row r="91" customFormat="false" ht="15" hidden="false" customHeight="false" outlineLevel="0" collapsed="false">
      <c r="A91" s="5" t="s">
        <v>230</v>
      </c>
      <c r="B91" s="5" t="s">
        <v>231</v>
      </c>
      <c r="C91" s="5" t="s">
        <v>21</v>
      </c>
      <c r="D91" s="5" t="s">
        <v>51</v>
      </c>
      <c r="E91" s="5" t="n">
        <v>0</v>
      </c>
      <c r="F91" s="5" t="n">
        <v>4</v>
      </c>
      <c r="G91" s="13" t="n">
        <v>975700</v>
      </c>
      <c r="H91" s="13" t="n">
        <v>76300</v>
      </c>
      <c r="I91" s="13" t="n">
        <v>899400</v>
      </c>
      <c r="J91" s="13" t="n">
        <v>0</v>
      </c>
      <c r="K91" s="13" t="n">
        <v>225720</v>
      </c>
      <c r="L91" s="8" t="n">
        <v>25.1</v>
      </c>
      <c r="M91" s="13" t="n">
        <v>55640</v>
      </c>
      <c r="N91" s="13" t="n">
        <v>55640</v>
      </c>
      <c r="O91" s="8" t="n">
        <v>4.5</v>
      </c>
      <c r="P91" s="8" t="n">
        <f aca="false">IFERROR(H91/G91*100,0)</f>
        <v>7.8200266475351</v>
      </c>
      <c r="Q91" s="8" t="n">
        <f aca="false">IFERROR(N91/I91*100,0)</f>
        <v>6.18634645319102</v>
      </c>
      <c r="R91" s="14" t="n">
        <f aca="false">IF(L91&lt;0,2,IF(L91&lt;Assumptions!$B$4,1,0))</f>
        <v>0</v>
      </c>
      <c r="S91" s="14" t="n">
        <f aca="false">IF(O91&gt;Assumptions!$B$6,2,IF(O91&gt;Assumptions!$B$5,1,0))</f>
        <v>0</v>
      </c>
      <c r="T91" s="14" t="n">
        <f aca="false">IF(Q91&gt;Assumptions!$B$8,2,IF(Q91&gt;Assumptions!$B$7,1,0))</f>
        <v>0</v>
      </c>
      <c r="U91" s="14" t="n">
        <f aca="false">R91+S91+T91</f>
        <v>0</v>
      </c>
      <c r="V91" s="15" t="str">
        <f aca="false">IF(U91&gt;=Assumptions!$B$10,"High",IF(U91&gt;=Assumptions!$B$9,"Medium","Low"))</f>
        <v>Low</v>
      </c>
    </row>
    <row r="92" customFormat="false" ht="15" hidden="false" customHeight="false" outlineLevel="0" collapsed="false">
      <c r="A92" s="5" t="s">
        <v>232</v>
      </c>
      <c r="B92" s="5" t="s">
        <v>233</v>
      </c>
      <c r="C92" s="5" t="s">
        <v>21</v>
      </c>
      <c r="D92" s="5" t="s">
        <v>54</v>
      </c>
      <c r="E92" s="5" t="n">
        <v>14</v>
      </c>
      <c r="F92" s="5" t="n">
        <v>6</v>
      </c>
      <c r="G92" s="13" t="n">
        <v>927700</v>
      </c>
      <c r="H92" s="13" t="n">
        <v>77600</v>
      </c>
      <c r="I92" s="13" t="n">
        <v>850100</v>
      </c>
      <c r="J92" s="13" t="n">
        <v>0</v>
      </c>
      <c r="K92" s="13" t="n">
        <v>80170</v>
      </c>
      <c r="L92" s="8" t="n">
        <v>9.4</v>
      </c>
      <c r="M92" s="13" t="n">
        <v>0</v>
      </c>
      <c r="N92" s="13" t="n">
        <v>0</v>
      </c>
      <c r="O92" s="8" t="n">
        <v>15.333333</v>
      </c>
      <c r="P92" s="8" t="n">
        <f aca="false">IFERROR(H92/G92*100,0)</f>
        <v>8.36477309475046</v>
      </c>
      <c r="Q92" s="8" t="n">
        <f aca="false">IFERROR(N92/I92*100,0)</f>
        <v>0</v>
      </c>
      <c r="R92" s="14" t="n">
        <f aca="false">IF(L92&lt;0,2,IF(L92&lt;Assumptions!$B$4,1,0))</f>
        <v>0</v>
      </c>
      <c r="S92" s="14" t="n">
        <f aca="false">IF(O92&gt;Assumptions!$B$6,2,IF(O92&gt;Assumptions!$B$5,1,0))</f>
        <v>1</v>
      </c>
      <c r="T92" s="14" t="n">
        <f aca="false">IF(Q92&gt;Assumptions!$B$8,2,IF(Q92&gt;Assumptions!$B$7,1,0))</f>
        <v>0</v>
      </c>
      <c r="U92" s="14" t="n">
        <f aca="false">R92+S92+T92</f>
        <v>1</v>
      </c>
      <c r="V92" s="15" t="str">
        <f aca="false">IF(U92&gt;=Assumptions!$B$10,"High",IF(U92&gt;=Assumptions!$B$9,"Medium","Low"))</f>
        <v>Low</v>
      </c>
    </row>
    <row r="93" customFormat="false" ht="15" hidden="false" customHeight="false" outlineLevel="0" collapsed="false">
      <c r="A93" s="5" t="s">
        <v>234</v>
      </c>
      <c r="B93" s="5" t="s">
        <v>235</v>
      </c>
      <c r="C93" s="5" t="s">
        <v>20</v>
      </c>
      <c r="D93" s="5" t="s">
        <v>54</v>
      </c>
      <c r="E93" s="5" t="n">
        <v>14</v>
      </c>
      <c r="F93" s="5" t="n">
        <v>7</v>
      </c>
      <c r="G93" s="13" t="n">
        <v>967200</v>
      </c>
      <c r="H93" s="13" t="n">
        <v>132950</v>
      </c>
      <c r="I93" s="13" t="n">
        <v>834250</v>
      </c>
      <c r="J93" s="13" t="n">
        <v>0</v>
      </c>
      <c r="K93" s="13" t="n">
        <v>107050</v>
      </c>
      <c r="L93" s="8" t="n">
        <v>12.8</v>
      </c>
      <c r="M93" s="13" t="n">
        <v>0</v>
      </c>
      <c r="N93" s="13" t="n">
        <v>0</v>
      </c>
      <c r="O93" s="8" t="n">
        <v>14.857142</v>
      </c>
      <c r="P93" s="8" t="n">
        <f aca="false">IFERROR(H93/G93*100,0)</f>
        <v>13.7458643507031</v>
      </c>
      <c r="Q93" s="8" t="n">
        <f aca="false">IFERROR(N93/I93*100,0)</f>
        <v>0</v>
      </c>
      <c r="R93" s="14" t="n">
        <f aca="false">IF(L93&lt;0,2,IF(L93&lt;Assumptions!$B$4,1,0))</f>
        <v>0</v>
      </c>
      <c r="S93" s="14" t="n">
        <f aca="false">IF(O93&gt;Assumptions!$B$6,2,IF(O93&gt;Assumptions!$B$5,1,0))</f>
        <v>0</v>
      </c>
      <c r="T93" s="14" t="n">
        <f aca="false">IF(Q93&gt;Assumptions!$B$8,2,IF(Q93&gt;Assumptions!$B$7,1,0))</f>
        <v>0</v>
      </c>
      <c r="U93" s="14" t="n">
        <f aca="false">R93+S93+T93</f>
        <v>0</v>
      </c>
      <c r="V93" s="15" t="str">
        <f aca="false">IF(U93&gt;=Assumptions!$B$10,"High",IF(U93&gt;=Assumptions!$B$9,"Medium","Low"))</f>
        <v>Low</v>
      </c>
    </row>
    <row r="94" customFormat="false" ht="15" hidden="false" customHeight="false" outlineLevel="0" collapsed="false">
      <c r="A94" s="5" t="s">
        <v>236</v>
      </c>
      <c r="B94" s="5" t="s">
        <v>237</v>
      </c>
      <c r="C94" s="5" t="s">
        <v>20</v>
      </c>
      <c r="D94" s="5" t="s">
        <v>54</v>
      </c>
      <c r="E94" s="5" t="n">
        <v>14</v>
      </c>
      <c r="F94" s="5" t="n">
        <v>6</v>
      </c>
      <c r="G94" s="13" t="n">
        <v>891000</v>
      </c>
      <c r="H94" s="13" t="n">
        <v>93710</v>
      </c>
      <c r="I94" s="13" t="n">
        <v>797290</v>
      </c>
      <c r="J94" s="13" t="n">
        <v>74590</v>
      </c>
      <c r="K94" s="13" t="n">
        <v>20630</v>
      </c>
      <c r="L94" s="8" t="n">
        <v>2.6</v>
      </c>
      <c r="M94" s="13" t="n">
        <v>0</v>
      </c>
      <c r="N94" s="13" t="n">
        <v>0</v>
      </c>
      <c r="O94" s="8" t="n">
        <v>19.333333</v>
      </c>
      <c r="P94" s="8" t="n">
        <f aca="false">IFERROR(H94/G94*100,0)</f>
        <v>10.5173961840629</v>
      </c>
      <c r="Q94" s="8" t="n">
        <f aca="false">IFERROR(N94/I94*100,0)</f>
        <v>0</v>
      </c>
      <c r="R94" s="14" t="n">
        <f aca="false">IF(L94&lt;0,2,IF(L94&lt;Assumptions!$B$4,1,0))</f>
        <v>1</v>
      </c>
      <c r="S94" s="14" t="n">
        <f aca="false">IF(O94&gt;Assumptions!$B$6,2,IF(O94&gt;Assumptions!$B$5,1,0))</f>
        <v>1</v>
      </c>
      <c r="T94" s="14" t="n">
        <f aca="false">IF(Q94&gt;Assumptions!$B$8,2,IF(Q94&gt;Assumptions!$B$7,1,0))</f>
        <v>0</v>
      </c>
      <c r="U94" s="14" t="n">
        <f aca="false">R94+S94+T94</f>
        <v>2</v>
      </c>
      <c r="V94" s="15" t="str">
        <f aca="false">IF(U94&gt;=Assumptions!$B$10,"High",IF(U94&gt;=Assumptions!$B$9,"Medium","Low"))</f>
        <v>Medium</v>
      </c>
    </row>
    <row r="95" customFormat="false" ht="15" hidden="false" customHeight="false" outlineLevel="0" collapsed="false">
      <c r="A95" s="5" t="s">
        <v>238</v>
      </c>
      <c r="B95" s="5" t="s">
        <v>239</v>
      </c>
      <c r="C95" s="5" t="s">
        <v>21</v>
      </c>
      <c r="D95" s="5" t="s">
        <v>93</v>
      </c>
      <c r="E95" s="5" t="n">
        <v>14</v>
      </c>
      <c r="F95" s="5" t="n">
        <v>7</v>
      </c>
      <c r="G95" s="13" t="n">
        <v>865600</v>
      </c>
      <c r="H95" s="13" t="n">
        <v>80040</v>
      </c>
      <c r="I95" s="13" t="n">
        <v>785560</v>
      </c>
      <c r="J95" s="13" t="n">
        <v>0</v>
      </c>
      <c r="K95" s="13" t="n">
        <v>193160</v>
      </c>
      <c r="L95" s="8" t="n">
        <v>24.6</v>
      </c>
      <c r="M95" s="13" t="n">
        <v>107160</v>
      </c>
      <c r="N95" s="13" t="n">
        <v>107160</v>
      </c>
      <c r="O95" s="8" t="n">
        <v>5.333333</v>
      </c>
      <c r="P95" s="8" t="n">
        <f aca="false">IFERROR(H95/G95*100,0)</f>
        <v>9.24676524953789</v>
      </c>
      <c r="Q95" s="8" t="n">
        <f aca="false">IFERROR(N95/I95*100,0)</f>
        <v>13.6412240949132</v>
      </c>
      <c r="R95" s="14" t="n">
        <f aca="false">IF(L95&lt;0,2,IF(L95&lt;Assumptions!$B$4,1,0))</f>
        <v>0</v>
      </c>
      <c r="S95" s="14" t="n">
        <f aca="false">IF(O95&gt;Assumptions!$B$6,2,IF(O95&gt;Assumptions!$B$5,1,0))</f>
        <v>0</v>
      </c>
      <c r="T95" s="14" t="n">
        <f aca="false">IF(Q95&gt;Assumptions!$B$8,2,IF(Q95&gt;Assumptions!$B$7,1,0))</f>
        <v>1</v>
      </c>
      <c r="U95" s="14" t="n">
        <f aca="false">R95+S95+T95</f>
        <v>1</v>
      </c>
      <c r="V95" s="15" t="str">
        <f aca="false">IF(U95&gt;=Assumptions!$B$10,"High",IF(U95&gt;=Assumptions!$B$9,"Medium","Low"))</f>
        <v>Low</v>
      </c>
    </row>
    <row r="96" customFormat="false" ht="15" hidden="false" customHeight="false" outlineLevel="0" collapsed="false">
      <c r="A96" s="5" t="s">
        <v>240</v>
      </c>
      <c r="B96" s="5" t="s">
        <v>241</v>
      </c>
      <c r="C96" s="5" t="s">
        <v>21</v>
      </c>
      <c r="D96" s="5" t="s">
        <v>54</v>
      </c>
      <c r="E96" s="5" t="n">
        <v>14</v>
      </c>
      <c r="F96" s="5" t="n">
        <v>9</v>
      </c>
      <c r="G96" s="13" t="n">
        <v>979300</v>
      </c>
      <c r="H96" s="13" t="n">
        <v>209610</v>
      </c>
      <c r="I96" s="13" t="n">
        <v>769690</v>
      </c>
      <c r="J96" s="13" t="n">
        <v>17970</v>
      </c>
      <c r="K96" s="13" t="n">
        <v>71830</v>
      </c>
      <c r="L96" s="8" t="n">
        <v>9.3</v>
      </c>
      <c r="M96" s="13" t="n">
        <v>254220</v>
      </c>
      <c r="N96" s="13" t="n">
        <v>254220</v>
      </c>
      <c r="O96" s="8" t="n">
        <v>13</v>
      </c>
      <c r="P96" s="8" t="n">
        <f aca="false">IFERROR(H96/G96*100,0)</f>
        <v>21.404064127438</v>
      </c>
      <c r="Q96" s="8" t="n">
        <f aca="false">IFERROR(N96/I96*100,0)</f>
        <v>33.0288817575907</v>
      </c>
      <c r="R96" s="14" t="n">
        <f aca="false">IF(L96&lt;0,2,IF(L96&lt;Assumptions!$B$4,1,0))</f>
        <v>0</v>
      </c>
      <c r="S96" s="14" t="n">
        <f aca="false">IF(O96&gt;Assumptions!$B$6,2,IF(O96&gt;Assumptions!$B$5,1,0))</f>
        <v>0</v>
      </c>
      <c r="T96" s="14" t="n">
        <f aca="false">IF(Q96&gt;Assumptions!$B$8,2,IF(Q96&gt;Assumptions!$B$7,1,0))</f>
        <v>2</v>
      </c>
      <c r="U96" s="14" t="n">
        <f aca="false">R96+S96+T96</f>
        <v>2</v>
      </c>
      <c r="V96" s="15" t="str">
        <f aca="false">IF(U96&gt;=Assumptions!$B$10,"High",IF(U96&gt;=Assumptions!$B$9,"Medium","Low"))</f>
        <v>Medium</v>
      </c>
    </row>
    <row r="97" customFormat="false" ht="15" hidden="false" customHeight="false" outlineLevel="0" collapsed="false">
      <c r="A97" s="5" t="s">
        <v>242</v>
      </c>
      <c r="B97" s="5" t="s">
        <v>243</v>
      </c>
      <c r="C97" s="5" t="s">
        <v>21</v>
      </c>
      <c r="D97" s="5" t="s">
        <v>54</v>
      </c>
      <c r="E97" s="5" t="n">
        <v>14</v>
      </c>
      <c r="F97" s="5" t="n">
        <v>7</v>
      </c>
      <c r="G97" s="13" t="n">
        <v>819800</v>
      </c>
      <c r="H97" s="13" t="n">
        <v>52600</v>
      </c>
      <c r="I97" s="13" t="n">
        <v>767200</v>
      </c>
      <c r="J97" s="13" t="n">
        <v>54370</v>
      </c>
      <c r="K97" s="13" t="n">
        <v>148180</v>
      </c>
      <c r="L97" s="8" t="n">
        <v>19.3</v>
      </c>
      <c r="M97" s="13" t="n">
        <v>0</v>
      </c>
      <c r="N97" s="13" t="n">
        <v>0</v>
      </c>
      <c r="O97" s="8" t="n">
        <v>16.857142</v>
      </c>
      <c r="P97" s="8" t="n">
        <f aca="false">IFERROR(H97/G97*100,0)</f>
        <v>6.41619907294462</v>
      </c>
      <c r="Q97" s="8" t="n">
        <f aca="false">IFERROR(N97/I97*100,0)</f>
        <v>0</v>
      </c>
      <c r="R97" s="14" t="n">
        <f aca="false">IF(L97&lt;0,2,IF(L97&lt;Assumptions!$B$4,1,0))</f>
        <v>0</v>
      </c>
      <c r="S97" s="14" t="n">
        <f aca="false">IF(O97&gt;Assumptions!$B$6,2,IF(O97&gt;Assumptions!$B$5,1,0))</f>
        <v>1</v>
      </c>
      <c r="T97" s="14" t="n">
        <f aca="false">IF(Q97&gt;Assumptions!$B$8,2,IF(Q97&gt;Assumptions!$B$7,1,0))</f>
        <v>0</v>
      </c>
      <c r="U97" s="14" t="n">
        <f aca="false">R97+S97+T97</f>
        <v>1</v>
      </c>
      <c r="V97" s="15" t="str">
        <f aca="false">IF(U97&gt;=Assumptions!$B$10,"High",IF(U97&gt;=Assumptions!$B$9,"Medium","Low"))</f>
        <v>Low</v>
      </c>
    </row>
    <row r="98" customFormat="false" ht="15" hidden="false" customHeight="false" outlineLevel="0" collapsed="false">
      <c r="A98" s="5" t="s">
        <v>244</v>
      </c>
      <c r="B98" s="5" t="s">
        <v>245</v>
      </c>
      <c r="C98" s="5" t="s">
        <v>21</v>
      </c>
      <c r="D98" s="5" t="s">
        <v>54</v>
      </c>
      <c r="E98" s="5" t="n">
        <v>14</v>
      </c>
      <c r="F98" s="5" t="n">
        <v>5</v>
      </c>
      <c r="G98" s="13" t="n">
        <v>726600</v>
      </c>
      <c r="H98" s="13" t="n">
        <v>38880</v>
      </c>
      <c r="I98" s="13" t="n">
        <v>687720</v>
      </c>
      <c r="J98" s="13" t="n">
        <v>0</v>
      </c>
      <c r="K98" s="13" t="n">
        <v>160240</v>
      </c>
      <c r="L98" s="8" t="n">
        <v>23.3</v>
      </c>
      <c r="M98" s="13" t="n">
        <v>0</v>
      </c>
      <c r="N98" s="13" t="n">
        <v>0</v>
      </c>
      <c r="O98" s="8" t="n">
        <v>8</v>
      </c>
      <c r="P98" s="8" t="n">
        <f aca="false">IFERROR(H98/G98*100,0)</f>
        <v>5.35094962840628</v>
      </c>
      <c r="Q98" s="8" t="n">
        <f aca="false">IFERROR(N98/I98*100,0)</f>
        <v>0</v>
      </c>
      <c r="R98" s="14" t="n">
        <f aca="false">IF(L98&lt;0,2,IF(L98&lt;Assumptions!$B$4,1,0))</f>
        <v>0</v>
      </c>
      <c r="S98" s="14" t="n">
        <f aca="false">IF(O98&gt;Assumptions!$B$6,2,IF(O98&gt;Assumptions!$B$5,1,0))</f>
        <v>0</v>
      </c>
      <c r="T98" s="14" t="n">
        <f aca="false">IF(Q98&gt;Assumptions!$B$8,2,IF(Q98&gt;Assumptions!$B$7,1,0))</f>
        <v>0</v>
      </c>
      <c r="U98" s="14" t="n">
        <f aca="false">R98+S98+T98</f>
        <v>0</v>
      </c>
      <c r="V98" s="15" t="str">
        <f aca="false">IF(U98&gt;=Assumptions!$B$10,"High",IF(U98&gt;=Assumptions!$B$9,"Medium","Low"))</f>
        <v>Low</v>
      </c>
    </row>
    <row r="99" customFormat="false" ht="15" hidden="false" customHeight="false" outlineLevel="0" collapsed="false">
      <c r="A99" s="5" t="s">
        <v>246</v>
      </c>
      <c r="B99" s="5" t="s">
        <v>247</v>
      </c>
      <c r="C99" s="5" t="s">
        <v>20</v>
      </c>
      <c r="D99" s="5" t="s">
        <v>54</v>
      </c>
      <c r="E99" s="5" t="n">
        <v>30</v>
      </c>
      <c r="F99" s="5" t="n">
        <v>6</v>
      </c>
      <c r="G99" s="13" t="n">
        <v>1050800</v>
      </c>
      <c r="H99" s="13" t="n">
        <v>365940</v>
      </c>
      <c r="I99" s="13" t="n">
        <v>684860</v>
      </c>
      <c r="J99" s="13" t="n">
        <v>42420</v>
      </c>
      <c r="K99" s="13" t="n">
        <v>-183950</v>
      </c>
      <c r="L99" s="8" t="n">
        <v>-26.9</v>
      </c>
      <c r="M99" s="13" t="n">
        <v>0</v>
      </c>
      <c r="N99" s="13" t="n">
        <v>0</v>
      </c>
      <c r="O99" s="8" t="n">
        <v>23</v>
      </c>
      <c r="P99" s="8" t="n">
        <f aca="false">IFERROR(H99/G99*100,0)</f>
        <v>34.8248953178531</v>
      </c>
      <c r="Q99" s="8" t="n">
        <f aca="false">IFERROR(N99/I99*100,0)</f>
        <v>0</v>
      </c>
      <c r="R99" s="14" t="n">
        <f aca="false">IF(L99&lt;0,2,IF(L99&lt;Assumptions!$B$4,1,0))</f>
        <v>2</v>
      </c>
      <c r="S99" s="14" t="n">
        <f aca="false">IF(O99&gt;Assumptions!$B$6,2,IF(O99&gt;Assumptions!$B$5,1,0))</f>
        <v>1</v>
      </c>
      <c r="T99" s="14" t="n">
        <f aca="false">IF(Q99&gt;Assumptions!$B$8,2,IF(Q99&gt;Assumptions!$B$7,1,0))</f>
        <v>0</v>
      </c>
      <c r="U99" s="14" t="n">
        <f aca="false">R99+S99+T99</f>
        <v>3</v>
      </c>
      <c r="V99" s="15" t="str">
        <f aca="false">IF(U99&gt;=Assumptions!$B$10,"High",IF(U99&gt;=Assumptions!$B$9,"Medium","Low"))</f>
        <v>Medium</v>
      </c>
    </row>
    <row r="100" customFormat="false" ht="15" hidden="false" customHeight="false" outlineLevel="0" collapsed="false">
      <c r="A100" s="5" t="s">
        <v>248</v>
      </c>
      <c r="B100" s="5" t="s">
        <v>249</v>
      </c>
      <c r="C100" s="5" t="s">
        <v>21</v>
      </c>
      <c r="D100" s="5" t="s">
        <v>54</v>
      </c>
      <c r="E100" s="5" t="n">
        <v>14</v>
      </c>
      <c r="F100" s="5" t="n">
        <v>7</v>
      </c>
      <c r="G100" s="13" t="n">
        <v>818200</v>
      </c>
      <c r="H100" s="13" t="n">
        <v>163760</v>
      </c>
      <c r="I100" s="13" t="n">
        <v>654440</v>
      </c>
      <c r="J100" s="13" t="n">
        <v>48020</v>
      </c>
      <c r="K100" s="13" t="n">
        <v>-6650</v>
      </c>
      <c r="L100" s="8" t="n">
        <v>-1</v>
      </c>
      <c r="M100" s="13" t="n">
        <v>34100</v>
      </c>
      <c r="N100" s="13" t="n">
        <v>34100</v>
      </c>
      <c r="O100" s="8" t="n">
        <v>27.142857</v>
      </c>
      <c r="P100" s="8" t="n">
        <f aca="false">IFERROR(H100/G100*100,0)</f>
        <v>20.014666340748</v>
      </c>
      <c r="Q100" s="8" t="n">
        <f aca="false">IFERROR(N100/I100*100,0)</f>
        <v>5.21056170160748</v>
      </c>
      <c r="R100" s="14" t="n">
        <f aca="false">IF(L100&lt;0,2,IF(L100&lt;Assumptions!$B$4,1,0))</f>
        <v>2</v>
      </c>
      <c r="S100" s="14" t="n">
        <f aca="false">IF(O100&gt;Assumptions!$B$6,2,IF(O100&gt;Assumptions!$B$5,1,0))</f>
        <v>1</v>
      </c>
      <c r="T100" s="14" t="n">
        <f aca="false">IF(Q100&gt;Assumptions!$B$8,2,IF(Q100&gt;Assumptions!$B$7,1,0))</f>
        <v>0</v>
      </c>
      <c r="U100" s="14" t="n">
        <f aca="false">R100+S100+T100</f>
        <v>3</v>
      </c>
      <c r="V100" s="15" t="str">
        <f aca="false">IF(U100&gt;=Assumptions!$B$10,"High",IF(U100&gt;=Assumptions!$B$9,"Medium","Low"))</f>
        <v>Medium</v>
      </c>
    </row>
    <row r="101" customFormat="false" ht="15" hidden="false" customHeight="false" outlineLevel="0" collapsed="false">
      <c r="A101" s="5" t="s">
        <v>250</v>
      </c>
      <c r="B101" s="5" t="s">
        <v>251</v>
      </c>
      <c r="C101" s="5" t="s">
        <v>20</v>
      </c>
      <c r="D101" s="5" t="s">
        <v>54</v>
      </c>
      <c r="E101" s="5" t="n">
        <v>30</v>
      </c>
      <c r="F101" s="5" t="n">
        <v>5</v>
      </c>
      <c r="G101" s="13" t="n">
        <v>816900</v>
      </c>
      <c r="H101" s="13" t="n">
        <v>168560</v>
      </c>
      <c r="I101" s="13" t="n">
        <v>648340</v>
      </c>
      <c r="J101" s="13" t="n">
        <v>33040</v>
      </c>
      <c r="K101" s="13" t="n">
        <v>56370</v>
      </c>
      <c r="L101" s="8" t="n">
        <v>8.7</v>
      </c>
      <c r="M101" s="13" t="n">
        <v>74990</v>
      </c>
      <c r="N101" s="13" t="n">
        <v>74990</v>
      </c>
      <c r="O101" s="8" t="n">
        <v>19.2</v>
      </c>
      <c r="P101" s="8" t="n">
        <f aca="false">IFERROR(H101/G101*100,0)</f>
        <v>20.6341045415596</v>
      </c>
      <c r="Q101" s="8" t="n">
        <f aca="false">IFERROR(N101/I101*100,0)</f>
        <v>11.5664620415214</v>
      </c>
      <c r="R101" s="14" t="n">
        <f aca="false">IF(L101&lt;0,2,IF(L101&lt;Assumptions!$B$4,1,0))</f>
        <v>0</v>
      </c>
      <c r="S101" s="14" t="n">
        <f aca="false">IF(O101&gt;Assumptions!$B$6,2,IF(O101&gt;Assumptions!$B$5,1,0))</f>
        <v>1</v>
      </c>
      <c r="T101" s="14" t="n">
        <f aca="false">IF(Q101&gt;Assumptions!$B$8,2,IF(Q101&gt;Assumptions!$B$7,1,0))</f>
        <v>1</v>
      </c>
      <c r="U101" s="14" t="n">
        <f aca="false">R101+S101+T101</f>
        <v>2</v>
      </c>
      <c r="V101" s="15" t="str">
        <f aca="false">IF(U101&gt;=Assumptions!$B$10,"High",IF(U101&gt;=Assumptions!$B$9,"Medium","Low"))</f>
        <v>Medium</v>
      </c>
    </row>
    <row r="102" customFormat="false" ht="15" hidden="false" customHeight="false" outlineLevel="0" collapsed="false">
      <c r="A102" s="5" t="s">
        <v>252</v>
      </c>
      <c r="B102" s="5" t="s">
        <v>253</v>
      </c>
      <c r="C102" s="5" t="s">
        <v>21</v>
      </c>
      <c r="D102" s="5" t="s">
        <v>51</v>
      </c>
      <c r="E102" s="5" t="n">
        <v>0</v>
      </c>
      <c r="F102" s="5" t="n">
        <v>5</v>
      </c>
      <c r="G102" s="13" t="n">
        <v>703100</v>
      </c>
      <c r="H102" s="13" t="n">
        <v>55520</v>
      </c>
      <c r="I102" s="13" t="n">
        <v>647580</v>
      </c>
      <c r="J102" s="13" t="n">
        <v>0</v>
      </c>
      <c r="K102" s="13" t="n">
        <v>153980</v>
      </c>
      <c r="L102" s="8" t="n">
        <v>23.8</v>
      </c>
      <c r="M102" s="13" t="n">
        <v>0</v>
      </c>
      <c r="N102" s="13" t="n">
        <v>0</v>
      </c>
      <c r="O102" s="8" t="n">
        <v>7.2</v>
      </c>
      <c r="P102" s="8" t="n">
        <f aca="false">IFERROR(H102/G102*100,0)</f>
        <v>7.89645854074812</v>
      </c>
      <c r="Q102" s="8" t="n">
        <f aca="false">IFERROR(N102/I102*100,0)</f>
        <v>0</v>
      </c>
      <c r="R102" s="14" t="n">
        <f aca="false">IF(L102&lt;0,2,IF(L102&lt;Assumptions!$B$4,1,0))</f>
        <v>0</v>
      </c>
      <c r="S102" s="14" t="n">
        <f aca="false">IF(O102&gt;Assumptions!$B$6,2,IF(O102&gt;Assumptions!$B$5,1,0))</f>
        <v>0</v>
      </c>
      <c r="T102" s="14" t="n">
        <f aca="false">IF(Q102&gt;Assumptions!$B$8,2,IF(Q102&gt;Assumptions!$B$7,1,0))</f>
        <v>0</v>
      </c>
      <c r="U102" s="14" t="n">
        <f aca="false">R102+S102+T102</f>
        <v>0</v>
      </c>
      <c r="V102" s="15" t="str">
        <f aca="false">IF(U102&gt;=Assumptions!$B$10,"High",IF(U102&gt;=Assumptions!$B$9,"Medium","Low"))</f>
        <v>Low</v>
      </c>
    </row>
    <row r="103" customFormat="false" ht="15" hidden="false" customHeight="false" outlineLevel="0" collapsed="false">
      <c r="A103" s="5" t="s">
        <v>254</v>
      </c>
      <c r="B103" s="5" t="s">
        <v>255</v>
      </c>
      <c r="C103" s="5" t="s">
        <v>21</v>
      </c>
      <c r="D103" s="5" t="s">
        <v>54</v>
      </c>
      <c r="E103" s="5" t="n">
        <v>14</v>
      </c>
      <c r="F103" s="5" t="n">
        <v>5</v>
      </c>
      <c r="G103" s="13" t="n">
        <v>699000</v>
      </c>
      <c r="H103" s="13" t="n">
        <v>54850</v>
      </c>
      <c r="I103" s="13" t="n">
        <v>644150</v>
      </c>
      <c r="J103" s="13" t="n">
        <v>31920</v>
      </c>
      <c r="K103" s="13" t="n">
        <v>139420</v>
      </c>
      <c r="L103" s="8" t="n">
        <v>21.6</v>
      </c>
      <c r="M103" s="13" t="n">
        <v>0</v>
      </c>
      <c r="N103" s="13" t="n">
        <v>0</v>
      </c>
      <c r="O103" s="8" t="n">
        <v>13.8</v>
      </c>
      <c r="P103" s="8" t="n">
        <f aca="false">IFERROR(H103/G103*100,0)</f>
        <v>7.84692417739628</v>
      </c>
      <c r="Q103" s="8" t="n">
        <f aca="false">IFERROR(N103/I103*100,0)</f>
        <v>0</v>
      </c>
      <c r="R103" s="14" t="n">
        <f aca="false">IF(L103&lt;0,2,IF(L103&lt;Assumptions!$B$4,1,0))</f>
        <v>0</v>
      </c>
      <c r="S103" s="14" t="n">
        <f aca="false">IF(O103&gt;Assumptions!$B$6,2,IF(O103&gt;Assumptions!$B$5,1,0))</f>
        <v>0</v>
      </c>
      <c r="T103" s="14" t="n">
        <f aca="false">IF(Q103&gt;Assumptions!$B$8,2,IF(Q103&gt;Assumptions!$B$7,1,0))</f>
        <v>0</v>
      </c>
      <c r="U103" s="14" t="n">
        <f aca="false">R103+S103+T103</f>
        <v>0</v>
      </c>
      <c r="V103" s="15" t="str">
        <f aca="false">IF(U103&gt;=Assumptions!$B$10,"High",IF(U103&gt;=Assumptions!$B$9,"Medium","Low"))</f>
        <v>Low</v>
      </c>
    </row>
    <row r="104" customFormat="false" ht="15" hidden="false" customHeight="false" outlineLevel="0" collapsed="false">
      <c r="A104" s="5" t="s">
        <v>256</v>
      </c>
      <c r="B104" s="5" t="s">
        <v>257</v>
      </c>
      <c r="C104" s="5" t="s">
        <v>21</v>
      </c>
      <c r="D104" s="5" t="s">
        <v>51</v>
      </c>
      <c r="E104" s="5" t="n">
        <v>0</v>
      </c>
      <c r="F104" s="5" t="n">
        <v>4</v>
      </c>
      <c r="G104" s="13" t="n">
        <v>690700</v>
      </c>
      <c r="H104" s="13" t="n">
        <v>93860</v>
      </c>
      <c r="I104" s="13" t="n">
        <v>596840</v>
      </c>
      <c r="J104" s="13" t="n">
        <v>0</v>
      </c>
      <c r="K104" s="13" t="n">
        <v>101880</v>
      </c>
      <c r="L104" s="8" t="n">
        <v>17.1</v>
      </c>
      <c r="M104" s="13" t="n">
        <v>0</v>
      </c>
      <c r="N104" s="13" t="n">
        <v>0</v>
      </c>
      <c r="O104" s="8" t="n">
        <v>13</v>
      </c>
      <c r="P104" s="8" t="n">
        <f aca="false">IFERROR(H104/G104*100,0)</f>
        <v>13.5891124945707</v>
      </c>
      <c r="Q104" s="8" t="n">
        <f aca="false">IFERROR(N104/I104*100,0)</f>
        <v>0</v>
      </c>
      <c r="R104" s="14" t="n">
        <f aca="false">IF(L104&lt;0,2,IF(L104&lt;Assumptions!$B$4,1,0))</f>
        <v>0</v>
      </c>
      <c r="S104" s="14" t="n">
        <f aca="false">IF(O104&gt;Assumptions!$B$6,2,IF(O104&gt;Assumptions!$B$5,1,0))</f>
        <v>0</v>
      </c>
      <c r="T104" s="14" t="n">
        <f aca="false">IF(Q104&gt;Assumptions!$B$8,2,IF(Q104&gt;Assumptions!$B$7,1,0))</f>
        <v>0</v>
      </c>
      <c r="U104" s="14" t="n">
        <f aca="false">R104+S104+T104</f>
        <v>0</v>
      </c>
      <c r="V104" s="15" t="str">
        <f aca="false">IF(U104&gt;=Assumptions!$B$10,"High",IF(U104&gt;=Assumptions!$B$9,"Medium","Low"))</f>
        <v>Low</v>
      </c>
    </row>
    <row r="105" customFormat="false" ht="15" hidden="false" customHeight="false" outlineLevel="0" collapsed="false">
      <c r="A105" s="5" t="s">
        <v>258</v>
      </c>
      <c r="B105" s="5" t="s">
        <v>259</v>
      </c>
      <c r="C105" s="5" t="s">
        <v>21</v>
      </c>
      <c r="D105" s="5" t="s">
        <v>48</v>
      </c>
      <c r="E105" s="5" t="n">
        <v>14</v>
      </c>
      <c r="F105" s="5" t="n">
        <v>4</v>
      </c>
      <c r="G105" s="13" t="n">
        <v>864700</v>
      </c>
      <c r="H105" s="13" t="n">
        <v>274080</v>
      </c>
      <c r="I105" s="13" t="n">
        <v>590620</v>
      </c>
      <c r="J105" s="13" t="n">
        <v>35940</v>
      </c>
      <c r="K105" s="13" t="n">
        <v>-29740</v>
      </c>
      <c r="L105" s="8" t="n">
        <v>-5</v>
      </c>
      <c r="M105" s="13" t="n">
        <v>0</v>
      </c>
      <c r="N105" s="13" t="n">
        <v>0</v>
      </c>
      <c r="O105" s="8" t="n">
        <v>61.75</v>
      </c>
      <c r="P105" s="8" t="n">
        <f aca="false">IFERROR(H105/G105*100,0)</f>
        <v>31.696542153348</v>
      </c>
      <c r="Q105" s="8" t="n">
        <f aca="false">IFERROR(N105/I105*100,0)</f>
        <v>0</v>
      </c>
      <c r="R105" s="14" t="n">
        <f aca="false">IF(L105&lt;0,2,IF(L105&lt;Assumptions!$B$4,1,0))</f>
        <v>2</v>
      </c>
      <c r="S105" s="14" t="n">
        <f aca="false">IF(O105&gt;Assumptions!$B$6,2,IF(O105&gt;Assumptions!$B$5,1,0))</f>
        <v>2</v>
      </c>
      <c r="T105" s="14" t="n">
        <f aca="false">IF(Q105&gt;Assumptions!$B$8,2,IF(Q105&gt;Assumptions!$B$7,1,0))</f>
        <v>0</v>
      </c>
      <c r="U105" s="14" t="n">
        <f aca="false">R105+S105+T105</f>
        <v>4</v>
      </c>
      <c r="V105" s="15" t="str">
        <f aca="false">IF(U105&gt;=Assumptions!$B$10,"High",IF(U105&gt;=Assumptions!$B$9,"Medium","Low"))</f>
        <v>High</v>
      </c>
    </row>
    <row r="106" customFormat="false" ht="15" hidden="false" customHeight="false" outlineLevel="0" collapsed="false">
      <c r="A106" s="5" t="s">
        <v>260</v>
      </c>
      <c r="B106" s="5" t="s">
        <v>261</v>
      </c>
      <c r="C106" s="5" t="s">
        <v>21</v>
      </c>
      <c r="D106" s="5" t="s">
        <v>57</v>
      </c>
      <c r="E106" s="5" t="n">
        <v>0</v>
      </c>
      <c r="F106" s="5" t="n">
        <v>5</v>
      </c>
      <c r="G106" s="13" t="n">
        <v>717000</v>
      </c>
      <c r="H106" s="13" t="n">
        <v>137660</v>
      </c>
      <c r="I106" s="13" t="n">
        <v>579340</v>
      </c>
      <c r="J106" s="13" t="n">
        <v>0</v>
      </c>
      <c r="K106" s="13" t="n">
        <v>19630</v>
      </c>
      <c r="L106" s="8" t="n">
        <v>3.4</v>
      </c>
      <c r="M106" s="13" t="n">
        <v>357710</v>
      </c>
      <c r="N106" s="13" t="n">
        <v>357710</v>
      </c>
      <c r="O106" s="8" t="n">
        <v>17</v>
      </c>
      <c r="P106" s="8" t="n">
        <f aca="false">IFERROR(H106/G106*100,0)</f>
        <v>19.1994421199442</v>
      </c>
      <c r="Q106" s="8" t="n">
        <f aca="false">IFERROR(N106/I106*100,0)</f>
        <v>61.7443987986329</v>
      </c>
      <c r="R106" s="14" t="n">
        <f aca="false">IF(L106&lt;0,2,IF(L106&lt;Assumptions!$B$4,1,0))</f>
        <v>1</v>
      </c>
      <c r="S106" s="14" t="n">
        <f aca="false">IF(O106&gt;Assumptions!$B$6,2,IF(O106&gt;Assumptions!$B$5,1,0))</f>
        <v>1</v>
      </c>
      <c r="T106" s="14" t="n">
        <f aca="false">IF(Q106&gt;Assumptions!$B$8,2,IF(Q106&gt;Assumptions!$B$7,1,0))</f>
        <v>2</v>
      </c>
      <c r="U106" s="14" t="n">
        <f aca="false">R106+S106+T106</f>
        <v>4</v>
      </c>
      <c r="V106" s="15" t="str">
        <f aca="false">IF(U106&gt;=Assumptions!$B$10,"High",IF(U106&gt;=Assumptions!$B$9,"Medium","Low"))</f>
        <v>High</v>
      </c>
    </row>
    <row r="107" customFormat="false" ht="15" hidden="false" customHeight="false" outlineLevel="0" collapsed="false">
      <c r="A107" s="5" t="s">
        <v>262</v>
      </c>
      <c r="B107" s="5" t="s">
        <v>263</v>
      </c>
      <c r="C107" s="5" t="s">
        <v>21</v>
      </c>
      <c r="D107" s="5" t="s">
        <v>54</v>
      </c>
      <c r="E107" s="5" t="n">
        <v>0</v>
      </c>
      <c r="F107" s="5" t="n">
        <v>6</v>
      </c>
      <c r="G107" s="13" t="n">
        <v>617900</v>
      </c>
      <c r="H107" s="13" t="n">
        <v>43180</v>
      </c>
      <c r="I107" s="13" t="n">
        <v>574720</v>
      </c>
      <c r="J107" s="13" t="n">
        <v>0</v>
      </c>
      <c r="K107" s="13" t="n">
        <v>169560</v>
      </c>
      <c r="L107" s="8" t="n">
        <v>29.5</v>
      </c>
      <c r="M107" s="13" t="n">
        <v>0</v>
      </c>
      <c r="N107" s="13" t="n">
        <v>0</v>
      </c>
      <c r="O107" s="8" t="n">
        <v>7.666666</v>
      </c>
      <c r="P107" s="8" t="n">
        <f aca="false">IFERROR(H107/G107*100,0)</f>
        <v>6.988185790581</v>
      </c>
      <c r="Q107" s="8" t="n">
        <f aca="false">IFERROR(N107/I107*100,0)</f>
        <v>0</v>
      </c>
      <c r="R107" s="14" t="n">
        <f aca="false">IF(L107&lt;0,2,IF(L107&lt;Assumptions!$B$4,1,0))</f>
        <v>0</v>
      </c>
      <c r="S107" s="14" t="n">
        <f aca="false">IF(O107&gt;Assumptions!$B$6,2,IF(O107&gt;Assumptions!$B$5,1,0))</f>
        <v>0</v>
      </c>
      <c r="T107" s="14" t="n">
        <f aca="false">IF(Q107&gt;Assumptions!$B$8,2,IF(Q107&gt;Assumptions!$B$7,1,0))</f>
        <v>0</v>
      </c>
      <c r="U107" s="14" t="n">
        <f aca="false">R107+S107+T107</f>
        <v>0</v>
      </c>
      <c r="V107" s="15" t="str">
        <f aca="false">IF(U107&gt;=Assumptions!$B$10,"High",IF(U107&gt;=Assumptions!$B$9,"Medium","Low"))</f>
        <v>Low</v>
      </c>
    </row>
    <row r="108" customFormat="false" ht="15" hidden="false" customHeight="false" outlineLevel="0" collapsed="false">
      <c r="A108" s="5" t="s">
        <v>264</v>
      </c>
      <c r="B108" s="5" t="s">
        <v>265</v>
      </c>
      <c r="C108" s="5" t="s">
        <v>21</v>
      </c>
      <c r="D108" s="5" t="s">
        <v>51</v>
      </c>
      <c r="E108" s="5" t="n">
        <v>14</v>
      </c>
      <c r="F108" s="5" t="n">
        <v>4</v>
      </c>
      <c r="G108" s="13" t="n">
        <v>591800</v>
      </c>
      <c r="H108" s="13" t="n">
        <v>17160</v>
      </c>
      <c r="I108" s="13" t="n">
        <v>574640</v>
      </c>
      <c r="J108" s="13" t="n">
        <v>0</v>
      </c>
      <c r="K108" s="13" t="n">
        <v>171490</v>
      </c>
      <c r="L108" s="8" t="n">
        <v>29.8</v>
      </c>
      <c r="M108" s="13" t="n">
        <v>0</v>
      </c>
      <c r="N108" s="13" t="n">
        <v>0</v>
      </c>
      <c r="O108" s="8" t="n">
        <v>20</v>
      </c>
      <c r="P108" s="8" t="n">
        <f aca="false">IFERROR(H108/G108*100,0)</f>
        <v>2.8996282527881</v>
      </c>
      <c r="Q108" s="8" t="n">
        <f aca="false">IFERROR(N108/I108*100,0)</f>
        <v>0</v>
      </c>
      <c r="R108" s="14" t="n">
        <f aca="false">IF(L108&lt;0,2,IF(L108&lt;Assumptions!$B$4,1,0))</f>
        <v>0</v>
      </c>
      <c r="S108" s="14" t="n">
        <f aca="false">IF(O108&gt;Assumptions!$B$6,2,IF(O108&gt;Assumptions!$B$5,1,0))</f>
        <v>1</v>
      </c>
      <c r="T108" s="14" t="n">
        <f aca="false">IF(Q108&gt;Assumptions!$B$8,2,IF(Q108&gt;Assumptions!$B$7,1,0))</f>
        <v>0</v>
      </c>
      <c r="U108" s="14" t="n">
        <f aca="false">R108+S108+T108</f>
        <v>1</v>
      </c>
      <c r="V108" s="15" t="str">
        <f aca="false">IF(U108&gt;=Assumptions!$B$10,"High",IF(U108&gt;=Assumptions!$B$9,"Medium","Low"))</f>
        <v>Low</v>
      </c>
    </row>
    <row r="109" customFormat="false" ht="15" hidden="false" customHeight="false" outlineLevel="0" collapsed="false">
      <c r="A109" s="5" t="s">
        <v>266</v>
      </c>
      <c r="B109" s="5" t="s">
        <v>267</v>
      </c>
      <c r="C109" s="5" t="s">
        <v>21</v>
      </c>
      <c r="D109" s="5" t="s">
        <v>51</v>
      </c>
      <c r="E109" s="5" t="n">
        <v>0</v>
      </c>
      <c r="F109" s="5" t="n">
        <v>3</v>
      </c>
      <c r="G109" s="13" t="n">
        <v>596900</v>
      </c>
      <c r="H109" s="13" t="n">
        <v>34130</v>
      </c>
      <c r="I109" s="13" t="n">
        <v>562770</v>
      </c>
      <c r="J109" s="13" t="n">
        <v>0</v>
      </c>
      <c r="K109" s="13" t="n">
        <v>128180</v>
      </c>
      <c r="L109" s="8" t="n">
        <v>22.8</v>
      </c>
      <c r="M109" s="13" t="n">
        <v>0</v>
      </c>
      <c r="N109" s="13" t="n">
        <v>0</v>
      </c>
      <c r="O109" s="8" t="n">
        <v>9.333333</v>
      </c>
      <c r="P109" s="8" t="n">
        <f aca="false">IFERROR(H109/G109*100,0)</f>
        <v>5.71787569107053</v>
      </c>
      <c r="Q109" s="8" t="n">
        <f aca="false">IFERROR(N109/I109*100,0)</f>
        <v>0</v>
      </c>
      <c r="R109" s="14" t="n">
        <f aca="false">IF(L109&lt;0,2,IF(L109&lt;Assumptions!$B$4,1,0))</f>
        <v>0</v>
      </c>
      <c r="S109" s="14" t="n">
        <f aca="false">IF(O109&gt;Assumptions!$B$6,2,IF(O109&gt;Assumptions!$B$5,1,0))</f>
        <v>0</v>
      </c>
      <c r="T109" s="14" t="n">
        <f aca="false">IF(Q109&gt;Assumptions!$B$8,2,IF(Q109&gt;Assumptions!$B$7,1,0))</f>
        <v>0</v>
      </c>
      <c r="U109" s="14" t="n">
        <f aca="false">R109+S109+T109</f>
        <v>0</v>
      </c>
      <c r="V109" s="15" t="str">
        <f aca="false">IF(U109&gt;=Assumptions!$B$10,"High",IF(U109&gt;=Assumptions!$B$9,"Medium","Low"))</f>
        <v>Low</v>
      </c>
    </row>
    <row r="110" customFormat="false" ht="15" hidden="false" customHeight="false" outlineLevel="0" collapsed="false">
      <c r="A110" s="5" t="s">
        <v>268</v>
      </c>
      <c r="B110" s="5" t="s">
        <v>269</v>
      </c>
      <c r="C110" s="5" t="s">
        <v>21</v>
      </c>
      <c r="D110" s="5" t="s">
        <v>51</v>
      </c>
      <c r="E110" s="5" t="n">
        <v>14</v>
      </c>
      <c r="F110" s="5" t="n">
        <v>5</v>
      </c>
      <c r="G110" s="13" t="n">
        <v>607400</v>
      </c>
      <c r="H110" s="13" t="n">
        <v>77340</v>
      </c>
      <c r="I110" s="13" t="n">
        <v>530060</v>
      </c>
      <c r="J110" s="13" t="n">
        <v>0</v>
      </c>
      <c r="K110" s="13" t="n">
        <v>79640</v>
      </c>
      <c r="L110" s="8" t="n">
        <v>15</v>
      </c>
      <c r="M110" s="13" t="n">
        <v>118230</v>
      </c>
      <c r="N110" s="13" t="n">
        <v>118230</v>
      </c>
      <c r="O110" s="8" t="n">
        <v>10</v>
      </c>
      <c r="P110" s="8" t="n">
        <f aca="false">IFERROR(H110/G110*100,0)</f>
        <v>12.7329601580507</v>
      </c>
      <c r="Q110" s="8" t="n">
        <f aca="false">IFERROR(N110/I110*100,0)</f>
        <v>22.3050220729729</v>
      </c>
      <c r="R110" s="14" t="n">
        <f aca="false">IF(L110&lt;0,2,IF(L110&lt;Assumptions!$B$4,1,0))</f>
        <v>0</v>
      </c>
      <c r="S110" s="14" t="n">
        <f aca="false">IF(O110&gt;Assumptions!$B$6,2,IF(O110&gt;Assumptions!$B$5,1,0))</f>
        <v>0</v>
      </c>
      <c r="T110" s="14" t="n">
        <f aca="false">IF(Q110&gt;Assumptions!$B$8,2,IF(Q110&gt;Assumptions!$B$7,1,0))</f>
        <v>2</v>
      </c>
      <c r="U110" s="14" t="n">
        <f aca="false">R110+S110+T110</f>
        <v>2</v>
      </c>
      <c r="V110" s="15" t="str">
        <f aca="false">IF(U110&gt;=Assumptions!$B$10,"High",IF(U110&gt;=Assumptions!$B$9,"Medium","Low"))</f>
        <v>Medium</v>
      </c>
    </row>
    <row r="111" customFormat="false" ht="15" hidden="false" customHeight="false" outlineLevel="0" collapsed="false">
      <c r="A111" s="5" t="s">
        <v>270</v>
      </c>
      <c r="B111" s="5" t="s">
        <v>271</v>
      </c>
      <c r="C111" s="5" t="s">
        <v>21</v>
      </c>
      <c r="D111" s="5" t="s">
        <v>86</v>
      </c>
      <c r="E111" s="5" t="n">
        <v>0</v>
      </c>
      <c r="F111" s="5" t="n">
        <v>5</v>
      </c>
      <c r="G111" s="13" t="n">
        <v>533800</v>
      </c>
      <c r="H111" s="13" t="n">
        <v>29830</v>
      </c>
      <c r="I111" s="13" t="n">
        <v>503970</v>
      </c>
      <c r="J111" s="13" t="n">
        <v>69200</v>
      </c>
      <c r="K111" s="13" t="n">
        <v>73460</v>
      </c>
      <c r="L111" s="8" t="n">
        <v>14.6</v>
      </c>
      <c r="M111" s="13" t="n">
        <v>0</v>
      </c>
      <c r="N111" s="13" t="n">
        <v>0</v>
      </c>
      <c r="O111" s="8" t="n">
        <v>14.8</v>
      </c>
      <c r="P111" s="8" t="n">
        <f aca="false">IFERROR(H111/G111*100,0)</f>
        <v>5.58823529411765</v>
      </c>
      <c r="Q111" s="8" t="n">
        <f aca="false">IFERROR(N111/I111*100,0)</f>
        <v>0</v>
      </c>
      <c r="R111" s="14" t="n">
        <f aca="false">IF(L111&lt;0,2,IF(L111&lt;Assumptions!$B$4,1,0))</f>
        <v>0</v>
      </c>
      <c r="S111" s="14" t="n">
        <f aca="false">IF(O111&gt;Assumptions!$B$6,2,IF(O111&gt;Assumptions!$B$5,1,0))</f>
        <v>0</v>
      </c>
      <c r="T111" s="14" t="n">
        <f aca="false">IF(Q111&gt;Assumptions!$B$8,2,IF(Q111&gt;Assumptions!$B$7,1,0))</f>
        <v>0</v>
      </c>
      <c r="U111" s="14" t="n">
        <f aca="false">R111+S111+T111</f>
        <v>0</v>
      </c>
      <c r="V111" s="15" t="str">
        <f aca="false">IF(U111&gt;=Assumptions!$B$10,"High",IF(U111&gt;=Assumptions!$B$9,"Medium","Low"))</f>
        <v>Low</v>
      </c>
    </row>
    <row r="112" customFormat="false" ht="15" hidden="false" customHeight="false" outlineLevel="0" collapsed="false">
      <c r="A112" s="5" t="s">
        <v>272</v>
      </c>
      <c r="B112" s="5" t="s">
        <v>273</v>
      </c>
      <c r="C112" s="5" t="s">
        <v>21</v>
      </c>
      <c r="D112" s="5" t="s">
        <v>54</v>
      </c>
      <c r="E112" s="5" t="n">
        <v>0</v>
      </c>
      <c r="F112" s="5" t="n">
        <v>4</v>
      </c>
      <c r="G112" s="13" t="n">
        <v>525700</v>
      </c>
      <c r="H112" s="13" t="n">
        <v>40310</v>
      </c>
      <c r="I112" s="13" t="n">
        <v>485390</v>
      </c>
      <c r="J112" s="13" t="n">
        <v>61950</v>
      </c>
      <c r="K112" s="13" t="n">
        <v>58190</v>
      </c>
      <c r="L112" s="8" t="n">
        <v>12</v>
      </c>
      <c r="M112" s="13" t="n">
        <v>47860</v>
      </c>
      <c r="N112" s="13" t="n">
        <v>47860</v>
      </c>
      <c r="O112" s="8" t="n">
        <v>12.25</v>
      </c>
      <c r="P112" s="8" t="n">
        <f aca="false">IFERROR(H112/G112*100,0)</f>
        <v>7.66787140954917</v>
      </c>
      <c r="Q112" s="8" t="n">
        <f aca="false">IFERROR(N112/I112*100,0)</f>
        <v>9.86011248686623</v>
      </c>
      <c r="R112" s="14" t="n">
        <f aca="false">IF(L112&lt;0,2,IF(L112&lt;Assumptions!$B$4,1,0))</f>
        <v>0</v>
      </c>
      <c r="S112" s="14" t="n">
        <f aca="false">IF(O112&gt;Assumptions!$B$6,2,IF(O112&gt;Assumptions!$B$5,1,0))</f>
        <v>0</v>
      </c>
      <c r="T112" s="14" t="n">
        <f aca="false">IF(Q112&gt;Assumptions!$B$8,2,IF(Q112&gt;Assumptions!$B$7,1,0))</f>
        <v>0</v>
      </c>
      <c r="U112" s="14" t="n">
        <f aca="false">R112+S112+T112</f>
        <v>0</v>
      </c>
      <c r="V112" s="15" t="str">
        <f aca="false">IF(U112&gt;=Assumptions!$B$10,"High",IF(U112&gt;=Assumptions!$B$9,"Medium","Low"))</f>
        <v>Low</v>
      </c>
    </row>
    <row r="113" customFormat="false" ht="15" hidden="false" customHeight="false" outlineLevel="0" collapsed="false">
      <c r="A113" s="5" t="s">
        <v>274</v>
      </c>
      <c r="B113" s="5" t="s">
        <v>275</v>
      </c>
      <c r="C113" s="5" t="s">
        <v>21</v>
      </c>
      <c r="D113" s="5" t="s">
        <v>51</v>
      </c>
      <c r="E113" s="5" t="n">
        <v>0</v>
      </c>
      <c r="F113" s="5" t="n">
        <v>3</v>
      </c>
      <c r="G113" s="13" t="n">
        <v>544000</v>
      </c>
      <c r="H113" s="13" t="n">
        <v>75470</v>
      </c>
      <c r="I113" s="13" t="n">
        <v>468530</v>
      </c>
      <c r="J113" s="13" t="n">
        <v>0</v>
      </c>
      <c r="K113" s="13" t="n">
        <v>106960</v>
      </c>
      <c r="L113" s="8" t="n">
        <v>22.8</v>
      </c>
      <c r="M113" s="13" t="n">
        <v>0</v>
      </c>
      <c r="N113" s="13" t="n">
        <v>0</v>
      </c>
      <c r="O113" s="8" t="n">
        <v>13</v>
      </c>
      <c r="P113" s="8" t="n">
        <f aca="false">IFERROR(H113/G113*100,0)</f>
        <v>13.8731617647059</v>
      </c>
      <c r="Q113" s="8" t="n">
        <f aca="false">IFERROR(N113/I113*100,0)</f>
        <v>0</v>
      </c>
      <c r="R113" s="14" t="n">
        <f aca="false">IF(L113&lt;0,2,IF(L113&lt;Assumptions!$B$4,1,0))</f>
        <v>0</v>
      </c>
      <c r="S113" s="14" t="n">
        <f aca="false">IF(O113&gt;Assumptions!$B$6,2,IF(O113&gt;Assumptions!$B$5,1,0))</f>
        <v>0</v>
      </c>
      <c r="T113" s="14" t="n">
        <f aca="false">IF(Q113&gt;Assumptions!$B$8,2,IF(Q113&gt;Assumptions!$B$7,1,0))</f>
        <v>0</v>
      </c>
      <c r="U113" s="14" t="n">
        <f aca="false">R113+S113+T113</f>
        <v>0</v>
      </c>
      <c r="V113" s="15" t="str">
        <f aca="false">IF(U113&gt;=Assumptions!$B$10,"High",IF(U113&gt;=Assumptions!$B$9,"Medium","Low"))</f>
        <v>Low</v>
      </c>
    </row>
    <row r="114" customFormat="false" ht="15" hidden="false" customHeight="false" outlineLevel="0" collapsed="false">
      <c r="A114" s="5" t="s">
        <v>276</v>
      </c>
      <c r="B114" s="5" t="s">
        <v>277</v>
      </c>
      <c r="C114" s="5" t="s">
        <v>21</v>
      </c>
      <c r="D114" s="5" t="s">
        <v>54</v>
      </c>
      <c r="E114" s="5" t="n">
        <v>0</v>
      </c>
      <c r="F114" s="5" t="n">
        <v>6</v>
      </c>
      <c r="G114" s="13" t="n">
        <v>554500</v>
      </c>
      <c r="H114" s="13" t="n">
        <v>124900</v>
      </c>
      <c r="I114" s="13" t="n">
        <v>429600</v>
      </c>
      <c r="J114" s="13" t="n">
        <v>0</v>
      </c>
      <c r="K114" s="13" t="n">
        <v>-5650</v>
      </c>
      <c r="L114" s="8" t="n">
        <v>-1.3</v>
      </c>
      <c r="M114" s="13" t="n">
        <v>69980</v>
      </c>
      <c r="N114" s="13" t="n">
        <v>69980</v>
      </c>
      <c r="O114" s="8" t="n">
        <v>4.4</v>
      </c>
      <c r="P114" s="8" t="n">
        <f aca="false">IFERROR(H114/G114*100,0)</f>
        <v>22.5247971145176</v>
      </c>
      <c r="Q114" s="8" t="n">
        <f aca="false">IFERROR(N114/I114*100,0)</f>
        <v>16.2895716945996</v>
      </c>
      <c r="R114" s="14" t="n">
        <f aca="false">IF(L114&lt;0,2,IF(L114&lt;Assumptions!$B$4,1,0))</f>
        <v>2</v>
      </c>
      <c r="S114" s="14" t="n">
        <f aca="false">IF(O114&gt;Assumptions!$B$6,2,IF(O114&gt;Assumptions!$B$5,1,0))</f>
        <v>0</v>
      </c>
      <c r="T114" s="14" t="n">
        <f aca="false">IF(Q114&gt;Assumptions!$B$8,2,IF(Q114&gt;Assumptions!$B$7,1,0))</f>
        <v>1</v>
      </c>
      <c r="U114" s="14" t="n">
        <f aca="false">R114+S114+T114</f>
        <v>3</v>
      </c>
      <c r="V114" s="15" t="str">
        <f aca="false">IF(U114&gt;=Assumptions!$B$10,"High",IF(U114&gt;=Assumptions!$B$9,"Medium","Low"))</f>
        <v>Medium</v>
      </c>
    </row>
    <row r="115" customFormat="false" ht="15" hidden="false" customHeight="false" outlineLevel="0" collapsed="false">
      <c r="A115" s="5" t="s">
        <v>278</v>
      </c>
      <c r="B115" s="5" t="s">
        <v>279</v>
      </c>
      <c r="C115" s="5" t="s">
        <v>21</v>
      </c>
      <c r="D115" s="5" t="s">
        <v>48</v>
      </c>
      <c r="E115" s="5" t="n">
        <v>0</v>
      </c>
      <c r="F115" s="5" t="n">
        <v>6</v>
      </c>
      <c r="G115" s="13" t="n">
        <v>445700</v>
      </c>
      <c r="H115" s="13" t="n">
        <v>20740</v>
      </c>
      <c r="I115" s="13" t="n">
        <v>424960</v>
      </c>
      <c r="J115" s="13" t="n">
        <v>0</v>
      </c>
      <c r="K115" s="13" t="n">
        <v>111360</v>
      </c>
      <c r="L115" s="8" t="n">
        <v>26.2</v>
      </c>
      <c r="M115" s="13" t="n">
        <v>0</v>
      </c>
      <c r="N115" s="13" t="n">
        <v>0</v>
      </c>
      <c r="O115" s="8" t="n">
        <v>4.666666</v>
      </c>
      <c r="P115" s="8" t="n">
        <f aca="false">IFERROR(H115/G115*100,0)</f>
        <v>4.65335427417545</v>
      </c>
      <c r="Q115" s="8" t="n">
        <f aca="false">IFERROR(N115/I115*100,0)</f>
        <v>0</v>
      </c>
      <c r="R115" s="14" t="n">
        <f aca="false">IF(L115&lt;0,2,IF(L115&lt;Assumptions!$B$4,1,0))</f>
        <v>0</v>
      </c>
      <c r="S115" s="14" t="n">
        <f aca="false">IF(O115&gt;Assumptions!$B$6,2,IF(O115&gt;Assumptions!$B$5,1,0))</f>
        <v>0</v>
      </c>
      <c r="T115" s="14" t="n">
        <f aca="false">IF(Q115&gt;Assumptions!$B$8,2,IF(Q115&gt;Assumptions!$B$7,1,0))</f>
        <v>0</v>
      </c>
      <c r="U115" s="14" t="n">
        <f aca="false">R115+S115+T115</f>
        <v>0</v>
      </c>
      <c r="V115" s="15" t="str">
        <f aca="false">IF(U115&gt;=Assumptions!$B$10,"High",IF(U115&gt;=Assumptions!$B$9,"Medium","Low"))</f>
        <v>Low</v>
      </c>
    </row>
    <row r="116" customFormat="false" ht="15" hidden="false" customHeight="false" outlineLevel="0" collapsed="false">
      <c r="A116" s="5" t="s">
        <v>280</v>
      </c>
      <c r="B116" s="5" t="s">
        <v>281</v>
      </c>
      <c r="C116" s="5" t="s">
        <v>21</v>
      </c>
      <c r="D116" s="5" t="s">
        <v>57</v>
      </c>
      <c r="E116" s="5" t="n">
        <v>14</v>
      </c>
      <c r="F116" s="5" t="n">
        <v>6</v>
      </c>
      <c r="G116" s="13" t="n">
        <v>516400</v>
      </c>
      <c r="H116" s="13" t="n">
        <v>137860</v>
      </c>
      <c r="I116" s="13" t="n">
        <v>378540</v>
      </c>
      <c r="J116" s="13" t="n">
        <v>44410</v>
      </c>
      <c r="K116" s="13" t="n">
        <v>470</v>
      </c>
      <c r="L116" s="8" t="n">
        <v>0.1</v>
      </c>
      <c r="M116" s="13" t="n">
        <v>20970</v>
      </c>
      <c r="N116" s="13" t="n">
        <v>20970</v>
      </c>
      <c r="O116" s="8" t="n">
        <v>7.833333</v>
      </c>
      <c r="P116" s="8" t="n">
        <f aca="false">IFERROR(H116/G116*100,0)</f>
        <v>26.6963594113091</v>
      </c>
      <c r="Q116" s="8" t="n">
        <f aca="false">IFERROR(N116/I116*100,0)</f>
        <v>5.5397051830718</v>
      </c>
      <c r="R116" s="14" t="n">
        <f aca="false">IF(L116&lt;0,2,IF(L116&lt;Assumptions!$B$4,1,0))</f>
        <v>1</v>
      </c>
      <c r="S116" s="14" t="n">
        <f aca="false">IF(O116&gt;Assumptions!$B$6,2,IF(O116&gt;Assumptions!$B$5,1,0))</f>
        <v>0</v>
      </c>
      <c r="T116" s="14" t="n">
        <f aca="false">IF(Q116&gt;Assumptions!$B$8,2,IF(Q116&gt;Assumptions!$B$7,1,0))</f>
        <v>0</v>
      </c>
      <c r="U116" s="14" t="n">
        <f aca="false">R116+S116+T116</f>
        <v>1</v>
      </c>
      <c r="V116" s="15" t="str">
        <f aca="false">IF(U116&gt;=Assumptions!$B$10,"High",IF(U116&gt;=Assumptions!$B$9,"Medium","Low"))</f>
        <v>Low</v>
      </c>
    </row>
    <row r="117" customFormat="false" ht="15" hidden="false" customHeight="false" outlineLevel="0" collapsed="false">
      <c r="A117" s="5" t="s">
        <v>282</v>
      </c>
      <c r="B117" s="5" t="s">
        <v>283</v>
      </c>
      <c r="C117" s="5" t="s">
        <v>21</v>
      </c>
      <c r="D117" s="5" t="s">
        <v>86</v>
      </c>
      <c r="E117" s="5" t="n">
        <v>14</v>
      </c>
      <c r="F117" s="5" t="n">
        <v>8</v>
      </c>
      <c r="G117" s="13" t="n">
        <v>419000</v>
      </c>
      <c r="H117" s="13" t="n">
        <v>42720</v>
      </c>
      <c r="I117" s="13" t="n">
        <v>376280</v>
      </c>
      <c r="J117" s="13" t="n">
        <v>0</v>
      </c>
      <c r="K117" s="13" t="n">
        <v>64670</v>
      </c>
      <c r="L117" s="8" t="n">
        <v>17.2</v>
      </c>
      <c r="M117" s="13" t="n">
        <v>53710</v>
      </c>
      <c r="N117" s="13" t="n">
        <v>53710</v>
      </c>
      <c r="O117" s="8" t="n">
        <v>3.857142</v>
      </c>
      <c r="P117" s="8" t="n">
        <f aca="false">IFERROR(H117/G117*100,0)</f>
        <v>10.1957040572792</v>
      </c>
      <c r="Q117" s="8" t="n">
        <f aca="false">IFERROR(N117/I117*100,0)</f>
        <v>14.2739449346232</v>
      </c>
      <c r="R117" s="14" t="n">
        <f aca="false">IF(L117&lt;0,2,IF(L117&lt;Assumptions!$B$4,1,0))</f>
        <v>0</v>
      </c>
      <c r="S117" s="14" t="n">
        <f aca="false">IF(O117&gt;Assumptions!$B$6,2,IF(O117&gt;Assumptions!$B$5,1,0))</f>
        <v>0</v>
      </c>
      <c r="T117" s="14" t="n">
        <f aca="false">IF(Q117&gt;Assumptions!$B$8,2,IF(Q117&gt;Assumptions!$B$7,1,0))</f>
        <v>1</v>
      </c>
      <c r="U117" s="14" t="n">
        <f aca="false">R117+S117+T117</f>
        <v>1</v>
      </c>
      <c r="V117" s="15" t="str">
        <f aca="false">IF(U117&gt;=Assumptions!$B$10,"High",IF(U117&gt;=Assumptions!$B$9,"Medium","Low"))</f>
        <v>Low</v>
      </c>
    </row>
    <row r="118" customFormat="false" ht="15" hidden="false" customHeight="false" outlineLevel="0" collapsed="false">
      <c r="A118" s="5" t="s">
        <v>284</v>
      </c>
      <c r="B118" s="5" t="s">
        <v>285</v>
      </c>
      <c r="C118" s="5" t="s">
        <v>21</v>
      </c>
      <c r="D118" s="5" t="s">
        <v>54</v>
      </c>
      <c r="E118" s="5" t="n">
        <v>14</v>
      </c>
      <c r="F118" s="5" t="n">
        <v>7</v>
      </c>
      <c r="G118" s="13" t="n">
        <v>407900</v>
      </c>
      <c r="H118" s="13" t="n">
        <v>35210</v>
      </c>
      <c r="I118" s="13" t="n">
        <v>372690</v>
      </c>
      <c r="J118" s="13" t="n">
        <v>0</v>
      </c>
      <c r="K118" s="13" t="n">
        <v>62240</v>
      </c>
      <c r="L118" s="8" t="n">
        <v>16.7</v>
      </c>
      <c r="M118" s="13" t="n">
        <v>78590</v>
      </c>
      <c r="N118" s="13" t="n">
        <v>78590</v>
      </c>
      <c r="O118" s="8" t="n">
        <v>11.6</v>
      </c>
      <c r="P118" s="8" t="n">
        <f aca="false">IFERROR(H118/G118*100,0)</f>
        <v>8.63201765138514</v>
      </c>
      <c r="Q118" s="8" t="n">
        <f aca="false">IFERROR(N118/I118*100,0)</f>
        <v>21.0872306742869</v>
      </c>
      <c r="R118" s="14" t="n">
        <f aca="false">IF(L118&lt;0,2,IF(L118&lt;Assumptions!$B$4,1,0))</f>
        <v>0</v>
      </c>
      <c r="S118" s="14" t="n">
        <f aca="false">IF(O118&gt;Assumptions!$B$6,2,IF(O118&gt;Assumptions!$B$5,1,0))</f>
        <v>0</v>
      </c>
      <c r="T118" s="14" t="n">
        <f aca="false">IF(Q118&gt;Assumptions!$B$8,2,IF(Q118&gt;Assumptions!$B$7,1,0))</f>
        <v>2</v>
      </c>
      <c r="U118" s="14" t="n">
        <f aca="false">R118+S118+T118</f>
        <v>2</v>
      </c>
      <c r="V118" s="15" t="str">
        <f aca="false">IF(U118&gt;=Assumptions!$B$10,"High",IF(U118&gt;=Assumptions!$B$9,"Medium","Low"))</f>
        <v>Medium</v>
      </c>
    </row>
    <row r="119" customFormat="false" ht="15" hidden="false" customHeight="false" outlineLevel="0" collapsed="false">
      <c r="A119" s="5" t="s">
        <v>286</v>
      </c>
      <c r="B119" s="5" t="s">
        <v>287</v>
      </c>
      <c r="C119" s="5" t="s">
        <v>21</v>
      </c>
      <c r="D119" s="5" t="s">
        <v>86</v>
      </c>
      <c r="E119" s="5" t="n">
        <v>0</v>
      </c>
      <c r="F119" s="5" t="n">
        <v>2</v>
      </c>
      <c r="G119" s="13" t="n">
        <v>380100</v>
      </c>
      <c r="H119" s="13" t="n">
        <v>30080</v>
      </c>
      <c r="I119" s="13" t="n">
        <v>350020</v>
      </c>
      <c r="J119" s="13" t="n">
        <v>0</v>
      </c>
      <c r="K119" s="13" t="n">
        <v>72060</v>
      </c>
      <c r="L119" s="8" t="n">
        <v>20.6</v>
      </c>
      <c r="M119" s="13" t="n">
        <v>0</v>
      </c>
      <c r="N119" s="13" t="n">
        <v>0</v>
      </c>
      <c r="O119" s="8" t="n">
        <v>10</v>
      </c>
      <c r="P119" s="8" t="n">
        <f aca="false">IFERROR(H119/G119*100,0)</f>
        <v>7.91370691923178</v>
      </c>
      <c r="Q119" s="8" t="n">
        <f aca="false">IFERROR(N119/I119*100,0)</f>
        <v>0</v>
      </c>
      <c r="R119" s="14" t="n">
        <f aca="false">IF(L119&lt;0,2,IF(L119&lt;Assumptions!$B$4,1,0))</f>
        <v>0</v>
      </c>
      <c r="S119" s="14" t="n">
        <f aca="false">IF(O119&gt;Assumptions!$B$6,2,IF(O119&gt;Assumptions!$B$5,1,0))</f>
        <v>0</v>
      </c>
      <c r="T119" s="14" t="n">
        <f aca="false">IF(Q119&gt;Assumptions!$B$8,2,IF(Q119&gt;Assumptions!$B$7,1,0))</f>
        <v>0</v>
      </c>
      <c r="U119" s="14" t="n">
        <f aca="false">R119+S119+T119</f>
        <v>0</v>
      </c>
      <c r="V119" s="15" t="str">
        <f aca="false">IF(U119&gt;=Assumptions!$B$10,"High",IF(U119&gt;=Assumptions!$B$9,"Medium","Low"))</f>
        <v>Low</v>
      </c>
    </row>
    <row r="120" customFormat="false" ht="15" hidden="false" customHeight="false" outlineLevel="0" collapsed="false">
      <c r="A120" s="5" t="s">
        <v>288</v>
      </c>
      <c r="B120" s="5" t="s">
        <v>289</v>
      </c>
      <c r="C120" s="5" t="s">
        <v>21</v>
      </c>
      <c r="D120" s="5" t="s">
        <v>93</v>
      </c>
      <c r="E120" s="5" t="n">
        <v>0</v>
      </c>
      <c r="F120" s="5" t="n">
        <v>3</v>
      </c>
      <c r="G120" s="13" t="n">
        <v>360900</v>
      </c>
      <c r="H120" s="13" t="n">
        <v>66050</v>
      </c>
      <c r="I120" s="13" t="n">
        <v>294850</v>
      </c>
      <c r="J120" s="13" t="n">
        <v>35590</v>
      </c>
      <c r="K120" s="13" t="n">
        <v>-36850</v>
      </c>
      <c r="L120" s="8" t="n">
        <v>-12.5</v>
      </c>
      <c r="M120" s="13" t="n">
        <v>63070</v>
      </c>
      <c r="N120" s="13" t="n">
        <v>63070</v>
      </c>
      <c r="O120" s="8" t="n">
        <v>13.333333</v>
      </c>
      <c r="P120" s="8" t="n">
        <f aca="false">IFERROR(H120/G120*100,0)</f>
        <v>18.3014685508451</v>
      </c>
      <c r="Q120" s="8" t="n">
        <f aca="false">IFERROR(N120/I120*100,0)</f>
        <v>21.3905375614719</v>
      </c>
      <c r="R120" s="14" t="n">
        <f aca="false">IF(L120&lt;0,2,IF(L120&lt;Assumptions!$B$4,1,0))</f>
        <v>2</v>
      </c>
      <c r="S120" s="14" t="n">
        <f aca="false">IF(O120&gt;Assumptions!$B$6,2,IF(O120&gt;Assumptions!$B$5,1,0))</f>
        <v>0</v>
      </c>
      <c r="T120" s="14" t="n">
        <f aca="false">IF(Q120&gt;Assumptions!$B$8,2,IF(Q120&gt;Assumptions!$B$7,1,0))</f>
        <v>2</v>
      </c>
      <c r="U120" s="14" t="n">
        <f aca="false">R120+S120+T120</f>
        <v>4</v>
      </c>
      <c r="V120" s="15" t="str">
        <f aca="false">IF(U120&gt;=Assumptions!$B$10,"High",IF(U120&gt;=Assumptions!$B$9,"Medium","Low"))</f>
        <v>High</v>
      </c>
    </row>
    <row r="121" customFormat="false" ht="15" hidden="false" customHeight="false" outlineLevel="0" collapsed="false">
      <c r="A121" s="5" t="s">
        <v>290</v>
      </c>
      <c r="B121" s="5" t="s">
        <v>291</v>
      </c>
      <c r="C121" s="5" t="s">
        <v>21</v>
      </c>
      <c r="D121" s="5" t="s">
        <v>57</v>
      </c>
      <c r="E121" s="5" t="n">
        <v>14</v>
      </c>
      <c r="F121" s="5" t="n">
        <v>5</v>
      </c>
      <c r="G121" s="13" t="n">
        <v>429100</v>
      </c>
      <c r="H121" s="13" t="n">
        <v>143120</v>
      </c>
      <c r="I121" s="13" t="n">
        <v>285980</v>
      </c>
      <c r="J121" s="13" t="n">
        <v>0</v>
      </c>
      <c r="K121" s="13" t="n">
        <v>7330</v>
      </c>
      <c r="L121" s="8" t="n">
        <v>2.6</v>
      </c>
      <c r="M121" s="13" t="n">
        <v>0</v>
      </c>
      <c r="N121" s="13" t="n">
        <v>0</v>
      </c>
      <c r="O121" s="8" t="n">
        <v>64</v>
      </c>
      <c r="P121" s="8" t="n">
        <f aca="false">IFERROR(H121/G121*100,0)</f>
        <v>33.3535306455372</v>
      </c>
      <c r="Q121" s="8" t="n">
        <f aca="false">IFERROR(N121/I121*100,0)</f>
        <v>0</v>
      </c>
      <c r="R121" s="14" t="n">
        <f aca="false">IF(L121&lt;0,2,IF(L121&lt;Assumptions!$B$4,1,0))</f>
        <v>1</v>
      </c>
      <c r="S121" s="14" t="n">
        <f aca="false">IF(O121&gt;Assumptions!$B$6,2,IF(O121&gt;Assumptions!$B$5,1,0))</f>
        <v>2</v>
      </c>
      <c r="T121" s="14" t="n">
        <f aca="false">IF(Q121&gt;Assumptions!$B$8,2,IF(Q121&gt;Assumptions!$B$7,1,0))</f>
        <v>0</v>
      </c>
      <c r="U121" s="14" t="n">
        <f aca="false">R121+S121+T121</f>
        <v>3</v>
      </c>
      <c r="V121" s="15" t="str">
        <f aca="false">IF(U121&gt;=Assumptions!$B$10,"High",IF(U121&gt;=Assumptions!$B$9,"Medium","Low"))</f>
        <v>Medium</v>
      </c>
    </row>
    <row r="122" customFormat="false" ht="15" hidden="false" customHeight="false" outlineLevel="0" collapsed="false">
      <c r="A122" s="5" t="s">
        <v>292</v>
      </c>
      <c r="B122" s="5" t="s">
        <v>293</v>
      </c>
      <c r="C122" s="5" t="s">
        <v>21</v>
      </c>
      <c r="D122" s="5" t="s">
        <v>54</v>
      </c>
      <c r="E122" s="5" t="n">
        <v>14</v>
      </c>
      <c r="F122" s="5" t="n">
        <v>4</v>
      </c>
      <c r="G122" s="13" t="n">
        <v>351900</v>
      </c>
      <c r="H122" s="13" t="n">
        <v>68170</v>
      </c>
      <c r="I122" s="13" t="n">
        <v>283730</v>
      </c>
      <c r="J122" s="13" t="n">
        <v>41640</v>
      </c>
      <c r="K122" s="13" t="n">
        <v>-3030</v>
      </c>
      <c r="L122" s="8" t="n">
        <v>-1.1</v>
      </c>
      <c r="M122" s="13" t="n">
        <v>0</v>
      </c>
      <c r="N122" s="13" t="n">
        <v>0</v>
      </c>
      <c r="O122" s="8" t="n">
        <v>1.5</v>
      </c>
      <c r="P122" s="8" t="n">
        <f aca="false">IFERROR(H122/G122*100,0)</f>
        <v>19.3719806763285</v>
      </c>
      <c r="Q122" s="8" t="n">
        <f aca="false">IFERROR(N122/I122*100,0)</f>
        <v>0</v>
      </c>
      <c r="R122" s="14" t="n">
        <f aca="false">IF(L122&lt;0,2,IF(L122&lt;Assumptions!$B$4,1,0))</f>
        <v>2</v>
      </c>
      <c r="S122" s="14" t="n">
        <f aca="false">IF(O122&gt;Assumptions!$B$6,2,IF(O122&gt;Assumptions!$B$5,1,0))</f>
        <v>0</v>
      </c>
      <c r="T122" s="14" t="n">
        <f aca="false">IF(Q122&gt;Assumptions!$B$8,2,IF(Q122&gt;Assumptions!$B$7,1,0))</f>
        <v>0</v>
      </c>
      <c r="U122" s="14" t="n">
        <f aca="false">R122+S122+T122</f>
        <v>2</v>
      </c>
      <c r="V122" s="15" t="str">
        <f aca="false">IF(U122&gt;=Assumptions!$B$10,"High",IF(U122&gt;=Assumptions!$B$9,"Medium","Low"))</f>
        <v>Medium</v>
      </c>
    </row>
    <row r="123" customFormat="false" ht="15" hidden="false" customHeight="false" outlineLevel="0" collapsed="false">
      <c r="A123" s="5" t="s">
        <v>294</v>
      </c>
      <c r="B123" s="5" t="s">
        <v>295</v>
      </c>
      <c r="C123" s="5" t="s">
        <v>21</v>
      </c>
      <c r="D123" s="5" t="s">
        <v>93</v>
      </c>
      <c r="E123" s="5" t="n">
        <v>0</v>
      </c>
      <c r="F123" s="5" t="n">
        <v>4</v>
      </c>
      <c r="G123" s="13" t="n">
        <v>343700</v>
      </c>
      <c r="H123" s="13" t="n">
        <v>73370</v>
      </c>
      <c r="I123" s="13" t="n">
        <v>270330</v>
      </c>
      <c r="J123" s="13" t="n">
        <v>0</v>
      </c>
      <c r="K123" s="13" t="n">
        <v>28150</v>
      </c>
      <c r="L123" s="8" t="n">
        <v>10.4</v>
      </c>
      <c r="M123" s="13" t="n">
        <v>0</v>
      </c>
      <c r="N123" s="13" t="n">
        <v>0</v>
      </c>
      <c r="O123" s="8" t="n">
        <v>11.75</v>
      </c>
      <c r="P123" s="8" t="n">
        <f aca="false">IFERROR(H123/G123*100,0)</f>
        <v>21.3471050334594</v>
      </c>
      <c r="Q123" s="8" t="n">
        <f aca="false">IFERROR(N123/I123*100,0)</f>
        <v>0</v>
      </c>
      <c r="R123" s="14" t="n">
        <f aca="false">IF(L123&lt;0,2,IF(L123&lt;Assumptions!$B$4,1,0))</f>
        <v>0</v>
      </c>
      <c r="S123" s="14" t="n">
        <f aca="false">IF(O123&gt;Assumptions!$B$6,2,IF(O123&gt;Assumptions!$B$5,1,0))</f>
        <v>0</v>
      </c>
      <c r="T123" s="14" t="n">
        <f aca="false">IF(Q123&gt;Assumptions!$B$8,2,IF(Q123&gt;Assumptions!$B$7,1,0))</f>
        <v>0</v>
      </c>
      <c r="U123" s="14" t="n">
        <f aca="false">R123+S123+T123</f>
        <v>0</v>
      </c>
      <c r="V123" s="15" t="str">
        <f aca="false">IF(U123&gt;=Assumptions!$B$10,"High",IF(U123&gt;=Assumptions!$B$9,"Medium","Low"))</f>
        <v>Low</v>
      </c>
    </row>
    <row r="124" customFormat="false" ht="15" hidden="false" customHeight="false" outlineLevel="0" collapsed="false">
      <c r="A124" s="5" t="s">
        <v>296</v>
      </c>
      <c r="B124" s="5" t="s">
        <v>297</v>
      </c>
      <c r="C124" s="5" t="s">
        <v>20</v>
      </c>
      <c r="D124" s="5" t="s">
        <v>93</v>
      </c>
      <c r="E124" s="5" t="n">
        <v>14</v>
      </c>
      <c r="F124" s="5" t="n">
        <v>2</v>
      </c>
      <c r="G124" s="13" t="n">
        <v>329500</v>
      </c>
      <c r="H124" s="13" t="n">
        <v>60860</v>
      </c>
      <c r="I124" s="13" t="n">
        <v>268640</v>
      </c>
      <c r="J124" s="13" t="n">
        <v>0</v>
      </c>
      <c r="K124" s="13" t="n">
        <v>17840</v>
      </c>
      <c r="L124" s="8" t="n">
        <v>6.6</v>
      </c>
      <c r="M124" s="13" t="n">
        <v>0</v>
      </c>
      <c r="N124" s="13" t="n">
        <v>0</v>
      </c>
      <c r="O124" s="8" t="n">
        <v>0.5</v>
      </c>
      <c r="P124" s="8" t="n">
        <f aca="false">IFERROR(H124/G124*100,0)</f>
        <v>18.4704097116844</v>
      </c>
      <c r="Q124" s="8" t="n">
        <f aca="false">IFERROR(N124/I124*100,0)</f>
        <v>0</v>
      </c>
      <c r="R124" s="14" t="n">
        <f aca="false">IF(L124&lt;0,2,IF(L124&lt;Assumptions!$B$4,1,0))</f>
        <v>0</v>
      </c>
      <c r="S124" s="14" t="n">
        <f aca="false">IF(O124&gt;Assumptions!$B$6,2,IF(O124&gt;Assumptions!$B$5,1,0))</f>
        <v>0</v>
      </c>
      <c r="T124" s="14" t="n">
        <f aca="false">IF(Q124&gt;Assumptions!$B$8,2,IF(Q124&gt;Assumptions!$B$7,1,0))</f>
        <v>0</v>
      </c>
      <c r="U124" s="14" t="n">
        <f aca="false">R124+S124+T124</f>
        <v>0</v>
      </c>
      <c r="V124" s="15" t="str">
        <f aca="false">IF(U124&gt;=Assumptions!$B$10,"High",IF(U124&gt;=Assumptions!$B$9,"Medium","Low"))</f>
        <v>Low</v>
      </c>
    </row>
    <row r="125" customFormat="false" ht="15" hidden="false" customHeight="false" outlineLevel="0" collapsed="false">
      <c r="A125" s="5" t="s">
        <v>298</v>
      </c>
      <c r="B125" s="5" t="s">
        <v>299</v>
      </c>
      <c r="C125" s="5" t="s">
        <v>21</v>
      </c>
      <c r="D125" s="5" t="s">
        <v>54</v>
      </c>
      <c r="E125" s="5" t="n">
        <v>0</v>
      </c>
      <c r="F125" s="5" t="n">
        <v>5</v>
      </c>
      <c r="G125" s="13" t="n">
        <v>291000</v>
      </c>
      <c r="H125" s="13" t="n">
        <v>28020</v>
      </c>
      <c r="I125" s="13" t="n">
        <v>262980</v>
      </c>
      <c r="J125" s="13" t="n">
        <v>0</v>
      </c>
      <c r="K125" s="13" t="n">
        <v>41130</v>
      </c>
      <c r="L125" s="8" t="n">
        <v>15.6</v>
      </c>
      <c r="M125" s="13" t="n">
        <v>0</v>
      </c>
      <c r="N125" s="13" t="n">
        <v>0</v>
      </c>
      <c r="O125" s="8" t="n">
        <v>-0.8</v>
      </c>
      <c r="P125" s="8" t="n">
        <f aca="false">IFERROR(H125/G125*100,0)</f>
        <v>9.62886597938144</v>
      </c>
      <c r="Q125" s="8" t="n">
        <f aca="false">IFERROR(N125/I125*100,0)</f>
        <v>0</v>
      </c>
      <c r="R125" s="14" t="n">
        <f aca="false">IF(L125&lt;0,2,IF(L125&lt;Assumptions!$B$4,1,0))</f>
        <v>0</v>
      </c>
      <c r="S125" s="14" t="n">
        <f aca="false">IF(O125&gt;Assumptions!$B$6,2,IF(O125&gt;Assumptions!$B$5,1,0))</f>
        <v>0</v>
      </c>
      <c r="T125" s="14" t="n">
        <f aca="false">IF(Q125&gt;Assumptions!$B$8,2,IF(Q125&gt;Assumptions!$B$7,1,0))</f>
        <v>0</v>
      </c>
      <c r="U125" s="14" t="n">
        <f aca="false">R125+S125+T125</f>
        <v>0</v>
      </c>
      <c r="V125" s="15" t="str">
        <f aca="false">IF(U125&gt;=Assumptions!$B$10,"High",IF(U125&gt;=Assumptions!$B$9,"Medium","Low"))</f>
        <v>Low</v>
      </c>
    </row>
    <row r="126" customFormat="false" ht="15" hidden="false" customHeight="false" outlineLevel="0" collapsed="false">
      <c r="A126" s="5" t="s">
        <v>300</v>
      </c>
      <c r="B126" s="5" t="s">
        <v>301</v>
      </c>
      <c r="C126" s="5" t="s">
        <v>21</v>
      </c>
      <c r="D126" s="5" t="s">
        <v>51</v>
      </c>
      <c r="E126" s="5" t="n">
        <v>14</v>
      </c>
      <c r="F126" s="5" t="n">
        <v>3</v>
      </c>
      <c r="G126" s="13" t="n">
        <v>302600</v>
      </c>
      <c r="H126" s="13" t="n">
        <v>47430</v>
      </c>
      <c r="I126" s="13" t="n">
        <v>255170</v>
      </c>
      <c r="J126" s="13" t="n">
        <v>0</v>
      </c>
      <c r="K126" s="13" t="n">
        <v>7600</v>
      </c>
      <c r="L126" s="8" t="n">
        <v>3</v>
      </c>
      <c r="M126" s="13" t="n">
        <v>0</v>
      </c>
      <c r="N126" s="13" t="n">
        <v>0</v>
      </c>
      <c r="O126" s="8" t="n">
        <v>3.666666</v>
      </c>
      <c r="P126" s="8" t="n">
        <f aca="false">IFERROR(H126/G126*100,0)</f>
        <v>15.6741573033708</v>
      </c>
      <c r="Q126" s="8" t="n">
        <f aca="false">IFERROR(N126/I126*100,0)</f>
        <v>0</v>
      </c>
      <c r="R126" s="14" t="n">
        <f aca="false">IF(L126&lt;0,2,IF(L126&lt;Assumptions!$B$4,1,0))</f>
        <v>1</v>
      </c>
      <c r="S126" s="14" t="n">
        <f aca="false">IF(O126&gt;Assumptions!$B$6,2,IF(O126&gt;Assumptions!$B$5,1,0))</f>
        <v>0</v>
      </c>
      <c r="T126" s="14" t="n">
        <f aca="false">IF(Q126&gt;Assumptions!$B$8,2,IF(Q126&gt;Assumptions!$B$7,1,0))</f>
        <v>0</v>
      </c>
      <c r="U126" s="14" t="n">
        <f aca="false">R126+S126+T126</f>
        <v>1</v>
      </c>
      <c r="V126" s="15" t="str">
        <f aca="false">IF(U126&gt;=Assumptions!$B$10,"High",IF(U126&gt;=Assumptions!$B$9,"Medium","Low"))</f>
        <v>Low</v>
      </c>
    </row>
    <row r="127" customFormat="false" ht="15" hidden="false" customHeight="false" outlineLevel="0" collapsed="false">
      <c r="A127" s="5" t="s">
        <v>302</v>
      </c>
      <c r="B127" s="5" t="s">
        <v>303</v>
      </c>
      <c r="C127" s="5" t="s">
        <v>21</v>
      </c>
      <c r="D127" s="5" t="s">
        <v>48</v>
      </c>
      <c r="E127" s="5" t="n">
        <v>14</v>
      </c>
      <c r="F127" s="5" t="n">
        <v>3</v>
      </c>
      <c r="G127" s="13" t="n">
        <v>262200</v>
      </c>
      <c r="H127" s="13" t="n">
        <v>9820</v>
      </c>
      <c r="I127" s="13" t="n">
        <v>252380</v>
      </c>
      <c r="J127" s="13" t="n">
        <v>0</v>
      </c>
      <c r="K127" s="13" t="n">
        <v>74840</v>
      </c>
      <c r="L127" s="8" t="n">
        <v>29.7</v>
      </c>
      <c r="M127" s="13" t="n">
        <v>0</v>
      </c>
      <c r="N127" s="13" t="n">
        <v>0</v>
      </c>
      <c r="O127" s="8" t="n">
        <v>14.333333</v>
      </c>
      <c r="P127" s="8" t="n">
        <f aca="false">IFERROR(H127/G127*100,0)</f>
        <v>3.74523264683448</v>
      </c>
      <c r="Q127" s="8" t="n">
        <f aca="false">IFERROR(N127/I127*100,0)</f>
        <v>0</v>
      </c>
      <c r="R127" s="14" t="n">
        <f aca="false">IF(L127&lt;0,2,IF(L127&lt;Assumptions!$B$4,1,0))</f>
        <v>0</v>
      </c>
      <c r="S127" s="14" t="n">
        <f aca="false">IF(O127&gt;Assumptions!$B$6,2,IF(O127&gt;Assumptions!$B$5,1,0))</f>
        <v>0</v>
      </c>
      <c r="T127" s="14" t="n">
        <f aca="false">IF(Q127&gt;Assumptions!$B$8,2,IF(Q127&gt;Assumptions!$B$7,1,0))</f>
        <v>0</v>
      </c>
      <c r="U127" s="14" t="n">
        <f aca="false">R127+S127+T127</f>
        <v>0</v>
      </c>
      <c r="V127" s="15" t="str">
        <f aca="false">IF(U127&gt;=Assumptions!$B$10,"High",IF(U127&gt;=Assumptions!$B$9,"Medium","Low"))</f>
        <v>Low</v>
      </c>
    </row>
    <row r="128" customFormat="false" ht="15" hidden="false" customHeight="false" outlineLevel="0" collapsed="false">
      <c r="A128" s="5" t="s">
        <v>304</v>
      </c>
      <c r="B128" s="5" t="s">
        <v>305</v>
      </c>
      <c r="C128" s="5" t="s">
        <v>21</v>
      </c>
      <c r="D128" s="5" t="s">
        <v>54</v>
      </c>
      <c r="E128" s="5" t="n">
        <v>14</v>
      </c>
      <c r="F128" s="5" t="n">
        <v>3</v>
      </c>
      <c r="G128" s="13" t="n">
        <v>337900</v>
      </c>
      <c r="H128" s="13" t="n">
        <v>86740</v>
      </c>
      <c r="I128" s="13" t="n">
        <v>251160</v>
      </c>
      <c r="J128" s="13" t="n">
        <v>0</v>
      </c>
      <c r="K128" s="13" t="n">
        <v>-14750</v>
      </c>
      <c r="L128" s="8" t="n">
        <v>-5.9</v>
      </c>
      <c r="M128" s="13" t="n">
        <v>0</v>
      </c>
      <c r="N128" s="13" t="n">
        <v>0</v>
      </c>
      <c r="O128" s="8" t="n">
        <v>39.333333</v>
      </c>
      <c r="P128" s="8" t="n">
        <f aca="false">IFERROR(H128/G128*100,0)</f>
        <v>25.6703166617342</v>
      </c>
      <c r="Q128" s="8" t="n">
        <f aca="false">IFERROR(N128/I128*100,0)</f>
        <v>0</v>
      </c>
      <c r="R128" s="14" t="n">
        <f aca="false">IF(L128&lt;0,2,IF(L128&lt;Assumptions!$B$4,1,0))</f>
        <v>2</v>
      </c>
      <c r="S128" s="14" t="n">
        <f aca="false">IF(O128&gt;Assumptions!$B$6,2,IF(O128&gt;Assumptions!$B$5,1,0))</f>
        <v>2</v>
      </c>
      <c r="T128" s="14" t="n">
        <f aca="false">IF(Q128&gt;Assumptions!$B$8,2,IF(Q128&gt;Assumptions!$B$7,1,0))</f>
        <v>0</v>
      </c>
      <c r="U128" s="14" t="n">
        <f aca="false">R128+S128+T128</f>
        <v>4</v>
      </c>
      <c r="V128" s="15" t="str">
        <f aca="false">IF(U128&gt;=Assumptions!$B$10,"High",IF(U128&gt;=Assumptions!$B$9,"Medium","Low"))</f>
        <v>High</v>
      </c>
    </row>
    <row r="129" customFormat="false" ht="15" hidden="false" customHeight="false" outlineLevel="0" collapsed="false">
      <c r="A129" s="5" t="s">
        <v>306</v>
      </c>
      <c r="B129" s="5" t="s">
        <v>307</v>
      </c>
      <c r="C129" s="5" t="s">
        <v>20</v>
      </c>
      <c r="D129" s="5" t="s">
        <v>54</v>
      </c>
      <c r="E129" s="5" t="n">
        <v>30</v>
      </c>
      <c r="F129" s="5" t="n">
        <v>4</v>
      </c>
      <c r="G129" s="13" t="n">
        <v>311500</v>
      </c>
      <c r="H129" s="13" t="n">
        <v>61340</v>
      </c>
      <c r="I129" s="13" t="n">
        <v>250160</v>
      </c>
      <c r="J129" s="13" t="n">
        <v>28360</v>
      </c>
      <c r="K129" s="13" t="n">
        <v>-31940</v>
      </c>
      <c r="L129" s="8" t="n">
        <v>-12.8</v>
      </c>
      <c r="M129" s="13" t="n">
        <v>0</v>
      </c>
      <c r="N129" s="13" t="n">
        <v>0</v>
      </c>
      <c r="O129" s="8" t="n">
        <v>1</v>
      </c>
      <c r="P129" s="8" t="n">
        <f aca="false">IFERROR(H129/G129*100,0)</f>
        <v>19.6918138041734</v>
      </c>
      <c r="Q129" s="8" t="n">
        <f aca="false">IFERROR(N129/I129*100,0)</f>
        <v>0</v>
      </c>
      <c r="R129" s="14" t="n">
        <f aca="false">IF(L129&lt;0,2,IF(L129&lt;Assumptions!$B$4,1,0))</f>
        <v>2</v>
      </c>
      <c r="S129" s="14" t="n">
        <f aca="false">IF(O129&gt;Assumptions!$B$6,2,IF(O129&gt;Assumptions!$B$5,1,0))</f>
        <v>0</v>
      </c>
      <c r="T129" s="14" t="n">
        <f aca="false">IF(Q129&gt;Assumptions!$B$8,2,IF(Q129&gt;Assumptions!$B$7,1,0))</f>
        <v>0</v>
      </c>
      <c r="U129" s="14" t="n">
        <f aca="false">R129+S129+T129</f>
        <v>2</v>
      </c>
      <c r="V129" s="15" t="str">
        <f aca="false">IF(U129&gt;=Assumptions!$B$10,"High",IF(U129&gt;=Assumptions!$B$9,"Medium","Low"))</f>
        <v>Medium</v>
      </c>
    </row>
    <row r="130" customFormat="false" ht="15" hidden="false" customHeight="false" outlineLevel="0" collapsed="false">
      <c r="A130" s="5" t="s">
        <v>308</v>
      </c>
      <c r="B130" s="5" t="s">
        <v>309</v>
      </c>
      <c r="C130" s="5" t="s">
        <v>21</v>
      </c>
      <c r="D130" s="5" t="s">
        <v>54</v>
      </c>
      <c r="E130" s="5" t="n">
        <v>14</v>
      </c>
      <c r="F130" s="5" t="n">
        <v>4</v>
      </c>
      <c r="G130" s="13" t="n">
        <v>309700</v>
      </c>
      <c r="H130" s="13" t="n">
        <v>64980</v>
      </c>
      <c r="I130" s="13" t="n">
        <v>244720</v>
      </c>
      <c r="J130" s="13" t="n">
        <v>0</v>
      </c>
      <c r="K130" s="13" t="n">
        <v>43810</v>
      </c>
      <c r="L130" s="8" t="n">
        <v>17.9</v>
      </c>
      <c r="M130" s="13" t="n">
        <v>0</v>
      </c>
      <c r="N130" s="13" t="n">
        <v>0</v>
      </c>
      <c r="O130" s="8" t="n">
        <v>-0.75</v>
      </c>
      <c r="P130" s="8" t="n">
        <f aca="false">IFERROR(H130/G130*100,0)</f>
        <v>20.9815950920245</v>
      </c>
      <c r="Q130" s="8" t="n">
        <f aca="false">IFERROR(N130/I130*100,0)</f>
        <v>0</v>
      </c>
      <c r="R130" s="14" t="n">
        <f aca="false">IF(L130&lt;0,2,IF(L130&lt;Assumptions!$B$4,1,0))</f>
        <v>0</v>
      </c>
      <c r="S130" s="14" t="n">
        <f aca="false">IF(O130&gt;Assumptions!$B$6,2,IF(O130&gt;Assumptions!$B$5,1,0))</f>
        <v>0</v>
      </c>
      <c r="T130" s="14" t="n">
        <f aca="false">IF(Q130&gt;Assumptions!$B$8,2,IF(Q130&gt;Assumptions!$B$7,1,0))</f>
        <v>0</v>
      </c>
      <c r="U130" s="14" t="n">
        <f aca="false">R130+S130+T130</f>
        <v>0</v>
      </c>
      <c r="V130" s="15" t="str">
        <f aca="false">IF(U130&gt;=Assumptions!$B$10,"High",IF(U130&gt;=Assumptions!$B$9,"Medium","Low"))</f>
        <v>Low</v>
      </c>
    </row>
    <row r="131" customFormat="false" ht="15" hidden="false" customHeight="false" outlineLevel="0" collapsed="false">
      <c r="A131" s="5" t="s">
        <v>310</v>
      </c>
      <c r="B131" s="5" t="s">
        <v>311</v>
      </c>
      <c r="C131" s="5" t="s">
        <v>21</v>
      </c>
      <c r="D131" s="5" t="s">
        <v>57</v>
      </c>
      <c r="E131" s="5" t="n">
        <v>14</v>
      </c>
      <c r="F131" s="5" t="n">
        <v>5</v>
      </c>
      <c r="G131" s="13" t="n">
        <v>229000</v>
      </c>
      <c r="H131" s="13" t="n">
        <v>1190</v>
      </c>
      <c r="I131" s="13" t="n">
        <v>227810</v>
      </c>
      <c r="J131" s="13" t="n">
        <v>22720</v>
      </c>
      <c r="K131" s="13" t="n">
        <v>17440</v>
      </c>
      <c r="L131" s="8" t="n">
        <v>7.7</v>
      </c>
      <c r="M131" s="13" t="n">
        <v>147690</v>
      </c>
      <c r="N131" s="13" t="n">
        <v>147690</v>
      </c>
      <c r="O131" s="8" t="n">
        <v>13.5</v>
      </c>
      <c r="P131" s="8" t="n">
        <f aca="false">IFERROR(H131/G131*100,0)</f>
        <v>0.519650655021834</v>
      </c>
      <c r="Q131" s="8" t="n">
        <f aca="false">IFERROR(N131/I131*100,0)</f>
        <v>64.8303410737018</v>
      </c>
      <c r="R131" s="14" t="n">
        <f aca="false">IF(L131&lt;0,2,IF(L131&lt;Assumptions!$B$4,1,0))</f>
        <v>0</v>
      </c>
      <c r="S131" s="14" t="n">
        <f aca="false">IF(O131&gt;Assumptions!$B$6,2,IF(O131&gt;Assumptions!$B$5,1,0))</f>
        <v>0</v>
      </c>
      <c r="T131" s="14" t="n">
        <f aca="false">IF(Q131&gt;Assumptions!$B$8,2,IF(Q131&gt;Assumptions!$B$7,1,0))</f>
        <v>2</v>
      </c>
      <c r="U131" s="14" t="n">
        <f aca="false">R131+S131+T131</f>
        <v>2</v>
      </c>
      <c r="V131" s="15" t="str">
        <f aca="false">IF(U131&gt;=Assumptions!$B$10,"High",IF(U131&gt;=Assumptions!$B$9,"Medium","Low"))</f>
        <v>Medium</v>
      </c>
    </row>
    <row r="132" customFormat="false" ht="15" hidden="false" customHeight="false" outlineLevel="0" collapsed="false">
      <c r="A132" s="5" t="s">
        <v>312</v>
      </c>
      <c r="B132" s="5" t="s">
        <v>313</v>
      </c>
      <c r="C132" s="5" t="s">
        <v>21</v>
      </c>
      <c r="D132" s="5" t="s">
        <v>54</v>
      </c>
      <c r="E132" s="5" t="n">
        <v>14</v>
      </c>
      <c r="F132" s="5" t="n">
        <v>3</v>
      </c>
      <c r="G132" s="13" t="n">
        <v>216800</v>
      </c>
      <c r="H132" s="13" t="n">
        <v>3230</v>
      </c>
      <c r="I132" s="13" t="n">
        <v>213570</v>
      </c>
      <c r="J132" s="13" t="n">
        <v>0</v>
      </c>
      <c r="K132" s="13" t="n">
        <v>48490</v>
      </c>
      <c r="L132" s="8" t="n">
        <v>22.7</v>
      </c>
      <c r="M132" s="13" t="n">
        <v>0</v>
      </c>
      <c r="N132" s="13" t="n">
        <v>0</v>
      </c>
      <c r="O132" s="8" t="n">
        <v>9.333333</v>
      </c>
      <c r="P132" s="8" t="n">
        <f aca="false">IFERROR(H132/G132*100,0)</f>
        <v>1.48985239852399</v>
      </c>
      <c r="Q132" s="8" t="n">
        <f aca="false">IFERROR(N132/I132*100,0)</f>
        <v>0</v>
      </c>
      <c r="R132" s="14" t="n">
        <f aca="false">IF(L132&lt;0,2,IF(L132&lt;Assumptions!$B$4,1,0))</f>
        <v>0</v>
      </c>
      <c r="S132" s="14" t="n">
        <f aca="false">IF(O132&gt;Assumptions!$B$6,2,IF(O132&gt;Assumptions!$B$5,1,0))</f>
        <v>0</v>
      </c>
      <c r="T132" s="14" t="n">
        <f aca="false">IF(Q132&gt;Assumptions!$B$8,2,IF(Q132&gt;Assumptions!$B$7,1,0))</f>
        <v>0</v>
      </c>
      <c r="U132" s="14" t="n">
        <f aca="false">R132+S132+T132</f>
        <v>0</v>
      </c>
      <c r="V132" s="15" t="str">
        <f aca="false">IF(U132&gt;=Assumptions!$B$10,"High",IF(U132&gt;=Assumptions!$B$9,"Medium","Low"))</f>
        <v>Low</v>
      </c>
    </row>
    <row r="133" customFormat="false" ht="15" hidden="false" customHeight="false" outlineLevel="0" collapsed="false">
      <c r="A133" s="5" t="s">
        <v>314</v>
      </c>
      <c r="B133" s="5" t="s">
        <v>315</v>
      </c>
      <c r="C133" s="5" t="s">
        <v>21</v>
      </c>
      <c r="D133" s="5" t="s">
        <v>86</v>
      </c>
      <c r="E133" s="5" t="n">
        <v>14</v>
      </c>
      <c r="F133" s="5" t="n">
        <v>6</v>
      </c>
      <c r="G133" s="13" t="n">
        <v>336500</v>
      </c>
      <c r="H133" s="13" t="n">
        <v>128650</v>
      </c>
      <c r="I133" s="13" t="n">
        <v>207850</v>
      </c>
      <c r="J133" s="13" t="n">
        <v>0</v>
      </c>
      <c r="K133" s="13" t="n">
        <v>-69850</v>
      </c>
      <c r="L133" s="8" t="n">
        <v>-33.6</v>
      </c>
      <c r="M133" s="13" t="n">
        <v>67810</v>
      </c>
      <c r="N133" s="13" t="n">
        <v>67810</v>
      </c>
      <c r="O133" s="8" t="n">
        <v>10.2</v>
      </c>
      <c r="P133" s="8" t="n">
        <f aca="false">IFERROR(H133/G133*100,0)</f>
        <v>38.2317979197623</v>
      </c>
      <c r="Q133" s="8" t="n">
        <f aca="false">IFERROR(N133/I133*100,0)</f>
        <v>32.6244888140486</v>
      </c>
      <c r="R133" s="14" t="n">
        <f aca="false">IF(L133&lt;0,2,IF(L133&lt;Assumptions!$B$4,1,0))</f>
        <v>2</v>
      </c>
      <c r="S133" s="14" t="n">
        <f aca="false">IF(O133&gt;Assumptions!$B$6,2,IF(O133&gt;Assumptions!$B$5,1,0))</f>
        <v>0</v>
      </c>
      <c r="T133" s="14" t="n">
        <f aca="false">IF(Q133&gt;Assumptions!$B$8,2,IF(Q133&gt;Assumptions!$B$7,1,0))</f>
        <v>2</v>
      </c>
      <c r="U133" s="14" t="n">
        <f aca="false">R133+S133+T133</f>
        <v>4</v>
      </c>
      <c r="V133" s="15" t="str">
        <f aca="false">IF(U133&gt;=Assumptions!$B$10,"High",IF(U133&gt;=Assumptions!$B$9,"Medium","Low"))</f>
        <v>High</v>
      </c>
    </row>
    <row r="134" customFormat="false" ht="15" hidden="false" customHeight="false" outlineLevel="0" collapsed="false">
      <c r="A134" s="5" t="s">
        <v>316</v>
      </c>
      <c r="B134" s="5" t="s">
        <v>317</v>
      </c>
      <c r="C134" s="5" t="s">
        <v>21</v>
      </c>
      <c r="D134" s="5" t="s">
        <v>54</v>
      </c>
      <c r="E134" s="5" t="n">
        <v>14</v>
      </c>
      <c r="F134" s="5" t="n">
        <v>4</v>
      </c>
      <c r="G134" s="13" t="n">
        <v>216300</v>
      </c>
      <c r="H134" s="13" t="n">
        <v>42530</v>
      </c>
      <c r="I134" s="13" t="n">
        <v>173770</v>
      </c>
      <c r="J134" s="13" t="n">
        <v>0</v>
      </c>
      <c r="K134" s="13" t="n">
        <v>2230</v>
      </c>
      <c r="L134" s="8" t="n">
        <v>1.3</v>
      </c>
      <c r="M134" s="13" t="n">
        <v>11350</v>
      </c>
      <c r="N134" s="13" t="n">
        <v>11350</v>
      </c>
      <c r="O134" s="8" t="n">
        <v>20.333333</v>
      </c>
      <c r="P134" s="8" t="n">
        <f aca="false">IFERROR(H134/G134*100,0)</f>
        <v>19.6625057790106</v>
      </c>
      <c r="Q134" s="8" t="n">
        <f aca="false">IFERROR(N134/I134*100,0)</f>
        <v>6.53162225930828</v>
      </c>
      <c r="R134" s="14" t="n">
        <f aca="false">IF(L134&lt;0,2,IF(L134&lt;Assumptions!$B$4,1,0))</f>
        <v>1</v>
      </c>
      <c r="S134" s="14" t="n">
        <f aca="false">IF(O134&gt;Assumptions!$B$6,2,IF(O134&gt;Assumptions!$B$5,1,0))</f>
        <v>1</v>
      </c>
      <c r="T134" s="14" t="n">
        <f aca="false">IF(Q134&gt;Assumptions!$B$8,2,IF(Q134&gt;Assumptions!$B$7,1,0))</f>
        <v>0</v>
      </c>
      <c r="U134" s="14" t="n">
        <f aca="false">R134+S134+T134</f>
        <v>2</v>
      </c>
      <c r="V134" s="15" t="str">
        <f aca="false">IF(U134&gt;=Assumptions!$B$10,"High",IF(U134&gt;=Assumptions!$B$9,"Medium","Low"))</f>
        <v>Medium</v>
      </c>
    </row>
    <row r="135" customFormat="false" ht="15" hidden="false" customHeight="false" outlineLevel="0" collapsed="false">
      <c r="A135" s="5" t="s">
        <v>318</v>
      </c>
      <c r="B135" s="5" t="s">
        <v>319</v>
      </c>
      <c r="C135" s="5" t="s">
        <v>21</v>
      </c>
      <c r="D135" s="5" t="s">
        <v>54</v>
      </c>
      <c r="E135" s="5" t="n">
        <v>14</v>
      </c>
      <c r="F135" s="5" t="n">
        <v>2</v>
      </c>
      <c r="G135" s="13" t="n">
        <v>180400</v>
      </c>
      <c r="H135" s="13" t="n">
        <v>17370</v>
      </c>
      <c r="I135" s="13" t="n">
        <v>163030</v>
      </c>
      <c r="J135" s="13" t="n">
        <v>0</v>
      </c>
      <c r="K135" s="13" t="n">
        <v>20180</v>
      </c>
      <c r="L135" s="8" t="n">
        <v>12.4</v>
      </c>
      <c r="M135" s="13" t="n">
        <v>0</v>
      </c>
      <c r="N135" s="13" t="n">
        <v>0</v>
      </c>
      <c r="O135" s="8" t="n">
        <v>84.5</v>
      </c>
      <c r="P135" s="8" t="n">
        <f aca="false">IFERROR(H135/G135*100,0)</f>
        <v>9.62860310421286</v>
      </c>
      <c r="Q135" s="8" t="n">
        <f aca="false">IFERROR(N135/I135*100,0)</f>
        <v>0</v>
      </c>
      <c r="R135" s="14" t="n">
        <f aca="false">IF(L135&lt;0,2,IF(L135&lt;Assumptions!$B$4,1,0))</f>
        <v>0</v>
      </c>
      <c r="S135" s="14" t="n">
        <f aca="false">IF(O135&gt;Assumptions!$B$6,2,IF(O135&gt;Assumptions!$B$5,1,0))</f>
        <v>2</v>
      </c>
      <c r="T135" s="14" t="n">
        <f aca="false">IF(Q135&gt;Assumptions!$B$8,2,IF(Q135&gt;Assumptions!$B$7,1,0))</f>
        <v>0</v>
      </c>
      <c r="U135" s="14" t="n">
        <f aca="false">R135+S135+T135</f>
        <v>2</v>
      </c>
      <c r="V135" s="15" t="str">
        <f aca="false">IF(U135&gt;=Assumptions!$B$10,"High",IF(U135&gt;=Assumptions!$B$9,"Medium","Low"))</f>
        <v>Medium</v>
      </c>
    </row>
    <row r="136" customFormat="false" ht="15" hidden="false" customHeight="false" outlineLevel="0" collapsed="false">
      <c r="A136" s="5" t="s">
        <v>320</v>
      </c>
      <c r="B136" s="5" t="s">
        <v>321</v>
      </c>
      <c r="C136" s="5" t="s">
        <v>21</v>
      </c>
      <c r="D136" s="5" t="s">
        <v>86</v>
      </c>
      <c r="E136" s="5" t="n">
        <v>0</v>
      </c>
      <c r="F136" s="5" t="n">
        <v>2</v>
      </c>
      <c r="G136" s="13" t="n">
        <v>175700</v>
      </c>
      <c r="H136" s="13" t="n">
        <v>20410</v>
      </c>
      <c r="I136" s="13" t="n">
        <v>155290</v>
      </c>
      <c r="J136" s="13" t="n">
        <v>0</v>
      </c>
      <c r="K136" s="13" t="n">
        <v>24100</v>
      </c>
      <c r="L136" s="8" t="n">
        <v>15.5</v>
      </c>
      <c r="M136" s="13" t="n">
        <v>0</v>
      </c>
      <c r="N136" s="13" t="n">
        <v>0</v>
      </c>
      <c r="O136" s="8" t="n">
        <v>12.5</v>
      </c>
      <c r="P136" s="8" t="n">
        <f aca="false">IFERROR(H136/G136*100,0)</f>
        <v>11.6163915765509</v>
      </c>
      <c r="Q136" s="8" t="n">
        <f aca="false">IFERROR(N136/I136*100,0)</f>
        <v>0</v>
      </c>
      <c r="R136" s="14" t="n">
        <f aca="false">IF(L136&lt;0,2,IF(L136&lt;Assumptions!$B$4,1,0))</f>
        <v>0</v>
      </c>
      <c r="S136" s="14" t="n">
        <f aca="false">IF(O136&gt;Assumptions!$B$6,2,IF(O136&gt;Assumptions!$B$5,1,0))</f>
        <v>0</v>
      </c>
      <c r="T136" s="14" t="n">
        <f aca="false">IF(Q136&gt;Assumptions!$B$8,2,IF(Q136&gt;Assumptions!$B$7,1,0))</f>
        <v>0</v>
      </c>
      <c r="U136" s="14" t="n">
        <f aca="false">R136+S136+T136</f>
        <v>0</v>
      </c>
      <c r="V136" s="15" t="str">
        <f aca="false">IF(U136&gt;=Assumptions!$B$10,"High",IF(U136&gt;=Assumptions!$B$9,"Medium","Low"))</f>
        <v>Low</v>
      </c>
    </row>
    <row r="137" customFormat="false" ht="15" hidden="false" customHeight="false" outlineLevel="0" collapsed="false">
      <c r="A137" s="5" t="s">
        <v>322</v>
      </c>
      <c r="B137" s="5" t="s">
        <v>323</v>
      </c>
      <c r="C137" s="5" t="s">
        <v>21</v>
      </c>
      <c r="D137" s="5" t="s">
        <v>48</v>
      </c>
      <c r="E137" s="5" t="n">
        <v>0</v>
      </c>
      <c r="F137" s="5" t="n">
        <v>3</v>
      </c>
      <c r="G137" s="13" t="n">
        <v>161200</v>
      </c>
      <c r="H137" s="13" t="n">
        <v>8300</v>
      </c>
      <c r="I137" s="13" t="n">
        <v>152900</v>
      </c>
      <c r="J137" s="13" t="n">
        <v>18120</v>
      </c>
      <c r="K137" s="13" t="n">
        <v>16410</v>
      </c>
      <c r="L137" s="8" t="n">
        <v>10.7</v>
      </c>
      <c r="M137" s="13" t="n">
        <v>0</v>
      </c>
      <c r="N137" s="13" t="n">
        <v>0</v>
      </c>
      <c r="O137" s="8" t="n">
        <v>12.666666</v>
      </c>
      <c r="P137" s="8" t="n">
        <f aca="false">IFERROR(H137/G137*100,0)</f>
        <v>5.14888337468983</v>
      </c>
      <c r="Q137" s="8" t="n">
        <f aca="false">IFERROR(N137/I137*100,0)</f>
        <v>0</v>
      </c>
      <c r="R137" s="14" t="n">
        <f aca="false">IF(L137&lt;0,2,IF(L137&lt;Assumptions!$B$4,1,0))</f>
        <v>0</v>
      </c>
      <c r="S137" s="14" t="n">
        <f aca="false">IF(O137&gt;Assumptions!$B$6,2,IF(O137&gt;Assumptions!$B$5,1,0))</f>
        <v>0</v>
      </c>
      <c r="T137" s="14" t="n">
        <f aca="false">IF(Q137&gt;Assumptions!$B$8,2,IF(Q137&gt;Assumptions!$B$7,1,0))</f>
        <v>0</v>
      </c>
      <c r="U137" s="14" t="n">
        <f aca="false">R137+S137+T137</f>
        <v>0</v>
      </c>
      <c r="V137" s="15" t="str">
        <f aca="false">IF(U137&gt;=Assumptions!$B$10,"High",IF(U137&gt;=Assumptions!$B$9,"Medium","Low"))</f>
        <v>Low</v>
      </c>
    </row>
    <row r="138" customFormat="false" ht="15" hidden="false" customHeight="false" outlineLevel="0" collapsed="false">
      <c r="A138" s="5" t="s">
        <v>324</v>
      </c>
      <c r="B138" s="5" t="s">
        <v>325</v>
      </c>
      <c r="C138" s="5" t="s">
        <v>21</v>
      </c>
      <c r="D138" s="5" t="s">
        <v>51</v>
      </c>
      <c r="E138" s="5" t="n">
        <v>0</v>
      </c>
      <c r="F138" s="5" t="n">
        <v>4</v>
      </c>
      <c r="G138" s="13" t="n">
        <v>195600</v>
      </c>
      <c r="H138" s="13" t="n">
        <v>45170</v>
      </c>
      <c r="I138" s="13" t="n">
        <v>150430</v>
      </c>
      <c r="J138" s="13" t="n">
        <v>0</v>
      </c>
      <c r="K138" s="13" t="n">
        <v>8070</v>
      </c>
      <c r="L138" s="8" t="n">
        <v>5.4</v>
      </c>
      <c r="M138" s="13" t="n">
        <v>8160</v>
      </c>
      <c r="N138" s="13" t="n">
        <v>8160</v>
      </c>
      <c r="O138" s="8" t="n">
        <v>77.25</v>
      </c>
      <c r="P138" s="8" t="n">
        <f aca="false">IFERROR(H138/G138*100,0)</f>
        <v>23.0930470347648</v>
      </c>
      <c r="Q138" s="8" t="n">
        <f aca="false">IFERROR(N138/I138*100,0)</f>
        <v>5.42444991025726</v>
      </c>
      <c r="R138" s="14" t="n">
        <f aca="false">IF(L138&lt;0,2,IF(L138&lt;Assumptions!$B$4,1,0))</f>
        <v>0</v>
      </c>
      <c r="S138" s="14" t="n">
        <f aca="false">IF(O138&gt;Assumptions!$B$6,2,IF(O138&gt;Assumptions!$B$5,1,0))</f>
        <v>2</v>
      </c>
      <c r="T138" s="14" t="n">
        <f aca="false">IF(Q138&gt;Assumptions!$B$8,2,IF(Q138&gt;Assumptions!$B$7,1,0))</f>
        <v>0</v>
      </c>
      <c r="U138" s="14" t="n">
        <f aca="false">R138+S138+T138</f>
        <v>2</v>
      </c>
      <c r="V138" s="15" t="str">
        <f aca="false">IF(U138&gt;=Assumptions!$B$10,"High",IF(U138&gt;=Assumptions!$B$9,"Medium","Low"))</f>
        <v>Medium</v>
      </c>
    </row>
    <row r="139" customFormat="false" ht="15" hidden="false" customHeight="false" outlineLevel="0" collapsed="false">
      <c r="A139" s="5" t="s">
        <v>326</v>
      </c>
      <c r="B139" s="5" t="s">
        <v>327</v>
      </c>
      <c r="C139" s="5" t="s">
        <v>21</v>
      </c>
      <c r="D139" s="5" t="s">
        <v>93</v>
      </c>
      <c r="E139" s="5" t="n">
        <v>14</v>
      </c>
      <c r="F139" s="5" t="n">
        <v>2</v>
      </c>
      <c r="G139" s="13" t="n">
        <v>160500</v>
      </c>
      <c r="H139" s="13" t="n">
        <v>17310</v>
      </c>
      <c r="I139" s="13" t="n">
        <v>143190</v>
      </c>
      <c r="J139" s="13" t="n">
        <v>26220</v>
      </c>
      <c r="K139" s="13" t="n">
        <v>2530</v>
      </c>
      <c r="L139" s="8" t="n">
        <v>1.8</v>
      </c>
      <c r="M139" s="13" t="n">
        <v>0</v>
      </c>
      <c r="N139" s="13" t="n">
        <v>0</v>
      </c>
      <c r="O139" s="8" t="n">
        <v>11.5</v>
      </c>
      <c r="P139" s="8" t="n">
        <f aca="false">IFERROR(H139/G139*100,0)</f>
        <v>10.785046728972</v>
      </c>
      <c r="Q139" s="8" t="n">
        <f aca="false">IFERROR(N139/I139*100,0)</f>
        <v>0</v>
      </c>
      <c r="R139" s="14" t="n">
        <f aca="false">IF(L139&lt;0,2,IF(L139&lt;Assumptions!$B$4,1,0))</f>
        <v>1</v>
      </c>
      <c r="S139" s="14" t="n">
        <f aca="false">IF(O139&gt;Assumptions!$B$6,2,IF(O139&gt;Assumptions!$B$5,1,0))</f>
        <v>0</v>
      </c>
      <c r="T139" s="14" t="n">
        <f aca="false">IF(Q139&gt;Assumptions!$B$8,2,IF(Q139&gt;Assumptions!$B$7,1,0))</f>
        <v>0</v>
      </c>
      <c r="U139" s="14" t="n">
        <f aca="false">R139+S139+T139</f>
        <v>1</v>
      </c>
      <c r="V139" s="15" t="str">
        <f aca="false">IF(U139&gt;=Assumptions!$B$10,"High",IF(U139&gt;=Assumptions!$B$9,"Medium","Low"))</f>
        <v>Low</v>
      </c>
    </row>
    <row r="140" customFormat="false" ht="15" hidden="false" customHeight="false" outlineLevel="0" collapsed="false">
      <c r="A140" s="5" t="s">
        <v>328</v>
      </c>
      <c r="B140" s="5" t="s">
        <v>329</v>
      </c>
      <c r="C140" s="5" t="s">
        <v>21</v>
      </c>
      <c r="D140" s="5" t="s">
        <v>54</v>
      </c>
      <c r="E140" s="5" t="n">
        <v>14</v>
      </c>
      <c r="F140" s="5" t="n">
        <v>3</v>
      </c>
      <c r="G140" s="13" t="n">
        <v>139300</v>
      </c>
      <c r="H140" s="13" t="n">
        <v>6410</v>
      </c>
      <c r="I140" s="13" t="n">
        <v>132890</v>
      </c>
      <c r="J140" s="13" t="n">
        <v>10530</v>
      </c>
      <c r="K140" s="13" t="n">
        <v>14430</v>
      </c>
      <c r="L140" s="8" t="n">
        <v>10.9</v>
      </c>
      <c r="M140" s="13" t="n">
        <v>0</v>
      </c>
      <c r="N140" s="13" t="n">
        <v>0</v>
      </c>
      <c r="O140" s="8" t="n">
        <v>10.333333</v>
      </c>
      <c r="P140" s="8" t="n">
        <f aca="false">IFERROR(H140/G140*100,0)</f>
        <v>4.60157932519742</v>
      </c>
      <c r="Q140" s="8" t="n">
        <f aca="false">IFERROR(N140/I140*100,0)</f>
        <v>0</v>
      </c>
      <c r="R140" s="14" t="n">
        <f aca="false">IF(L140&lt;0,2,IF(L140&lt;Assumptions!$B$4,1,0))</f>
        <v>0</v>
      </c>
      <c r="S140" s="14" t="n">
        <f aca="false">IF(O140&gt;Assumptions!$B$6,2,IF(O140&gt;Assumptions!$B$5,1,0))</f>
        <v>0</v>
      </c>
      <c r="T140" s="14" t="n">
        <f aca="false">IF(Q140&gt;Assumptions!$B$8,2,IF(Q140&gt;Assumptions!$B$7,1,0))</f>
        <v>0</v>
      </c>
      <c r="U140" s="14" t="n">
        <f aca="false">R140+S140+T140</f>
        <v>0</v>
      </c>
      <c r="V140" s="15" t="str">
        <f aca="false">IF(U140&gt;=Assumptions!$B$10,"High",IF(U140&gt;=Assumptions!$B$9,"Medium","Low"))</f>
        <v>Low</v>
      </c>
    </row>
    <row r="141" customFormat="false" ht="15" hidden="false" customHeight="false" outlineLevel="0" collapsed="false">
      <c r="A141" s="5" t="s">
        <v>330</v>
      </c>
      <c r="B141" s="5" t="s">
        <v>331</v>
      </c>
      <c r="C141" s="5" t="s">
        <v>21</v>
      </c>
      <c r="D141" s="5" t="s">
        <v>54</v>
      </c>
      <c r="E141" s="5" t="n">
        <v>0</v>
      </c>
      <c r="F141" s="5" t="n">
        <v>2</v>
      </c>
      <c r="G141" s="13" t="n">
        <v>156200</v>
      </c>
      <c r="H141" s="13" t="n">
        <v>35690</v>
      </c>
      <c r="I141" s="13" t="n">
        <v>120510</v>
      </c>
      <c r="J141" s="13" t="n">
        <v>0</v>
      </c>
      <c r="K141" s="13" t="n">
        <v>-4590</v>
      </c>
      <c r="L141" s="8" t="n">
        <v>-3.8</v>
      </c>
      <c r="M141" s="13" t="n">
        <v>0</v>
      </c>
      <c r="N141" s="13" t="n">
        <v>0</v>
      </c>
      <c r="O141" s="8" t="n">
        <v>8</v>
      </c>
      <c r="P141" s="8" t="n">
        <f aca="false">IFERROR(H141/G141*100,0)</f>
        <v>22.8489116517286</v>
      </c>
      <c r="Q141" s="8" t="n">
        <f aca="false">IFERROR(N141/I141*100,0)</f>
        <v>0</v>
      </c>
      <c r="R141" s="14" t="n">
        <f aca="false">IF(L141&lt;0,2,IF(L141&lt;Assumptions!$B$4,1,0))</f>
        <v>2</v>
      </c>
      <c r="S141" s="14" t="n">
        <f aca="false">IF(O141&gt;Assumptions!$B$6,2,IF(O141&gt;Assumptions!$B$5,1,0))</f>
        <v>0</v>
      </c>
      <c r="T141" s="14" t="n">
        <f aca="false">IF(Q141&gt;Assumptions!$B$8,2,IF(Q141&gt;Assumptions!$B$7,1,0))</f>
        <v>0</v>
      </c>
      <c r="U141" s="14" t="n">
        <f aca="false">R141+S141+T141</f>
        <v>2</v>
      </c>
      <c r="V141" s="15" t="str">
        <f aca="false">IF(U141&gt;=Assumptions!$B$10,"High",IF(U141&gt;=Assumptions!$B$9,"Medium","Low"))</f>
        <v>Medium</v>
      </c>
    </row>
    <row r="142" customFormat="false" ht="15" hidden="false" customHeight="false" outlineLevel="0" collapsed="false">
      <c r="A142" s="5" t="s">
        <v>332</v>
      </c>
      <c r="B142" s="5" t="s">
        <v>333</v>
      </c>
      <c r="C142" s="5" t="s">
        <v>21</v>
      </c>
      <c r="D142" s="5" t="s">
        <v>54</v>
      </c>
      <c r="E142" s="5" t="n">
        <v>0</v>
      </c>
      <c r="F142" s="5" t="n">
        <v>3</v>
      </c>
      <c r="G142" s="13" t="n">
        <v>153000</v>
      </c>
      <c r="H142" s="13" t="n">
        <v>34630</v>
      </c>
      <c r="I142" s="13" t="n">
        <v>118370</v>
      </c>
      <c r="J142" s="13" t="n">
        <v>0</v>
      </c>
      <c r="K142" s="13" t="n">
        <v>19880</v>
      </c>
      <c r="L142" s="8" t="n">
        <v>16.8</v>
      </c>
      <c r="M142" s="13" t="n">
        <v>0</v>
      </c>
      <c r="N142" s="13" t="n">
        <v>0</v>
      </c>
      <c r="O142" s="8" t="n">
        <v>16.666666</v>
      </c>
      <c r="P142" s="8" t="n">
        <f aca="false">IFERROR(H142/G142*100,0)</f>
        <v>22.6339869281046</v>
      </c>
      <c r="Q142" s="8" t="n">
        <f aca="false">IFERROR(N142/I142*100,0)</f>
        <v>0</v>
      </c>
      <c r="R142" s="14" t="n">
        <f aca="false">IF(L142&lt;0,2,IF(L142&lt;Assumptions!$B$4,1,0))</f>
        <v>0</v>
      </c>
      <c r="S142" s="14" t="n">
        <f aca="false">IF(O142&gt;Assumptions!$B$6,2,IF(O142&gt;Assumptions!$B$5,1,0))</f>
        <v>1</v>
      </c>
      <c r="T142" s="14" t="n">
        <f aca="false">IF(Q142&gt;Assumptions!$B$8,2,IF(Q142&gt;Assumptions!$B$7,1,0))</f>
        <v>0</v>
      </c>
      <c r="U142" s="14" t="n">
        <f aca="false">R142+S142+T142</f>
        <v>1</v>
      </c>
      <c r="V142" s="15" t="str">
        <f aca="false">IF(U142&gt;=Assumptions!$B$10,"High",IF(U142&gt;=Assumptions!$B$9,"Medium","Low"))</f>
        <v>Low</v>
      </c>
    </row>
    <row r="143" customFormat="false" ht="15" hidden="false" customHeight="false" outlineLevel="0" collapsed="false">
      <c r="A143" s="5" t="s">
        <v>334</v>
      </c>
      <c r="B143" s="5" t="s">
        <v>335</v>
      </c>
      <c r="C143" s="5" t="s">
        <v>21</v>
      </c>
      <c r="D143" s="5" t="s">
        <v>93</v>
      </c>
      <c r="E143" s="5" t="n">
        <v>0</v>
      </c>
      <c r="F143" s="5" t="n">
        <v>2</v>
      </c>
      <c r="G143" s="13" t="n">
        <v>98300</v>
      </c>
      <c r="H143" s="13" t="n">
        <v>6680</v>
      </c>
      <c r="I143" s="13" t="n">
        <v>91620</v>
      </c>
      <c r="J143" s="13" t="n">
        <v>0</v>
      </c>
      <c r="K143" s="13" t="n">
        <v>20000</v>
      </c>
      <c r="L143" s="8" t="n">
        <v>21.8</v>
      </c>
      <c r="M143" s="13" t="n">
        <v>0</v>
      </c>
      <c r="N143" s="13" t="n">
        <v>0</v>
      </c>
      <c r="O143" s="8" t="n">
        <v>5.5</v>
      </c>
      <c r="P143" s="8" t="n">
        <f aca="false">IFERROR(H143/G143*100,0)</f>
        <v>6.79552390640895</v>
      </c>
      <c r="Q143" s="8" t="n">
        <f aca="false">IFERROR(N143/I143*100,0)</f>
        <v>0</v>
      </c>
      <c r="R143" s="14" t="n">
        <f aca="false">IF(L143&lt;0,2,IF(L143&lt;Assumptions!$B$4,1,0))</f>
        <v>0</v>
      </c>
      <c r="S143" s="14" t="n">
        <f aca="false">IF(O143&gt;Assumptions!$B$6,2,IF(O143&gt;Assumptions!$B$5,1,0))</f>
        <v>0</v>
      </c>
      <c r="T143" s="14" t="n">
        <f aca="false">IF(Q143&gt;Assumptions!$B$8,2,IF(Q143&gt;Assumptions!$B$7,1,0))</f>
        <v>0</v>
      </c>
      <c r="U143" s="14" t="n">
        <f aca="false">R143+S143+T143</f>
        <v>0</v>
      </c>
      <c r="V143" s="15" t="str">
        <f aca="false">IF(U143&gt;=Assumptions!$B$10,"High",IF(U143&gt;=Assumptions!$B$9,"Medium","Low"))</f>
        <v>Low</v>
      </c>
    </row>
    <row r="144" customFormat="false" ht="15" hidden="false" customHeight="false" outlineLevel="0" collapsed="false">
      <c r="A144" s="5" t="s">
        <v>336</v>
      </c>
      <c r="B144" s="5" t="s">
        <v>337</v>
      </c>
      <c r="C144" s="5" t="s">
        <v>21</v>
      </c>
      <c r="D144" s="5" t="s">
        <v>54</v>
      </c>
      <c r="E144" s="5" t="n">
        <v>14</v>
      </c>
      <c r="F144" s="5" t="n">
        <v>2</v>
      </c>
      <c r="G144" s="13" t="n">
        <v>97700</v>
      </c>
      <c r="H144" s="13" t="n">
        <v>7530</v>
      </c>
      <c r="I144" s="13" t="n">
        <v>90170</v>
      </c>
      <c r="J144" s="13" t="n">
        <v>0</v>
      </c>
      <c r="K144" s="13" t="n">
        <v>27770</v>
      </c>
      <c r="L144" s="8" t="n">
        <v>30.8</v>
      </c>
      <c r="M144" s="13" t="n">
        <v>0</v>
      </c>
      <c r="N144" s="13" t="n">
        <v>0</v>
      </c>
      <c r="O144" s="8" t="n">
        <v>9</v>
      </c>
      <c r="P144" s="8" t="n">
        <f aca="false">IFERROR(H144/G144*100,0)</f>
        <v>7.70726714431935</v>
      </c>
      <c r="Q144" s="8" t="n">
        <f aca="false">IFERROR(N144/I144*100,0)</f>
        <v>0</v>
      </c>
      <c r="R144" s="14" t="n">
        <f aca="false">IF(L144&lt;0,2,IF(L144&lt;Assumptions!$B$4,1,0))</f>
        <v>0</v>
      </c>
      <c r="S144" s="14" t="n">
        <f aca="false">IF(O144&gt;Assumptions!$B$6,2,IF(O144&gt;Assumptions!$B$5,1,0))</f>
        <v>0</v>
      </c>
      <c r="T144" s="14" t="n">
        <f aca="false">IF(Q144&gt;Assumptions!$B$8,2,IF(Q144&gt;Assumptions!$B$7,1,0))</f>
        <v>0</v>
      </c>
      <c r="U144" s="14" t="n">
        <f aca="false">R144+S144+T144</f>
        <v>0</v>
      </c>
      <c r="V144" s="15" t="str">
        <f aca="false">IF(U144&gt;=Assumptions!$B$10,"High",IF(U144&gt;=Assumptions!$B$9,"Medium","Low"))</f>
        <v>Low</v>
      </c>
    </row>
    <row r="145" customFormat="false" ht="15" hidden="false" customHeight="false" outlineLevel="0" collapsed="false">
      <c r="A145" s="5" t="s">
        <v>338</v>
      </c>
      <c r="B145" s="5" t="s">
        <v>339</v>
      </c>
      <c r="C145" s="5" t="s">
        <v>21</v>
      </c>
      <c r="D145" s="5" t="s">
        <v>86</v>
      </c>
      <c r="E145" s="5" t="n">
        <v>14</v>
      </c>
      <c r="F145" s="5" t="n">
        <v>2</v>
      </c>
      <c r="G145" s="13" t="n">
        <v>95900</v>
      </c>
      <c r="H145" s="13" t="n">
        <v>12270</v>
      </c>
      <c r="I145" s="13" t="n">
        <v>83630</v>
      </c>
      <c r="J145" s="13" t="n">
        <v>0</v>
      </c>
      <c r="K145" s="13" t="n">
        <v>22330</v>
      </c>
      <c r="L145" s="8" t="n">
        <v>26.7</v>
      </c>
      <c r="M145" s="13" t="n">
        <v>0</v>
      </c>
      <c r="N145" s="13" t="n">
        <v>0</v>
      </c>
      <c r="O145" s="8" t="n">
        <v>49</v>
      </c>
      <c r="P145" s="8" t="n">
        <f aca="false">IFERROR(H145/G145*100,0)</f>
        <v>12.7945776850886</v>
      </c>
      <c r="Q145" s="8" t="n">
        <f aca="false">IFERROR(N145/I145*100,0)</f>
        <v>0</v>
      </c>
      <c r="R145" s="14" t="n">
        <f aca="false">IF(L145&lt;0,2,IF(L145&lt;Assumptions!$B$4,1,0))</f>
        <v>0</v>
      </c>
      <c r="S145" s="14" t="n">
        <f aca="false">IF(O145&gt;Assumptions!$B$6,2,IF(O145&gt;Assumptions!$B$5,1,0))</f>
        <v>2</v>
      </c>
      <c r="T145" s="14" t="n">
        <f aca="false">IF(Q145&gt;Assumptions!$B$8,2,IF(Q145&gt;Assumptions!$B$7,1,0))</f>
        <v>0</v>
      </c>
      <c r="U145" s="14" t="n">
        <f aca="false">R145+S145+T145</f>
        <v>2</v>
      </c>
      <c r="V145" s="15" t="str">
        <f aca="false">IF(U145&gt;=Assumptions!$B$10,"High",IF(U145&gt;=Assumptions!$B$9,"Medium","Low"))</f>
        <v>Medium</v>
      </c>
    </row>
    <row r="146" customFormat="false" ht="15" hidden="false" customHeight="false" outlineLevel="0" collapsed="false">
      <c r="A146" s="5" t="s">
        <v>340</v>
      </c>
      <c r="B146" s="5" t="s">
        <v>341</v>
      </c>
      <c r="C146" s="5" t="s">
        <v>21</v>
      </c>
      <c r="D146" s="5" t="s">
        <v>93</v>
      </c>
      <c r="E146" s="5" t="n">
        <v>14</v>
      </c>
      <c r="F146" s="5" t="n">
        <v>2</v>
      </c>
      <c r="G146" s="13" t="n">
        <v>112300</v>
      </c>
      <c r="H146" s="13" t="n">
        <v>29830</v>
      </c>
      <c r="I146" s="13" t="n">
        <v>82470</v>
      </c>
      <c r="J146" s="13" t="n">
        <v>0</v>
      </c>
      <c r="K146" s="13" t="n">
        <v>-7760</v>
      </c>
      <c r="L146" s="8" t="n">
        <v>-9.4</v>
      </c>
      <c r="M146" s="13" t="n">
        <v>0</v>
      </c>
      <c r="N146" s="13" t="n">
        <v>0</v>
      </c>
      <c r="O146" s="8" t="n">
        <v>4</v>
      </c>
      <c r="P146" s="8" t="n">
        <f aca="false">IFERROR(H146/G146*100,0)</f>
        <v>26.5627782724844</v>
      </c>
      <c r="Q146" s="8" t="n">
        <f aca="false">IFERROR(N146/I146*100,0)</f>
        <v>0</v>
      </c>
      <c r="R146" s="14" t="n">
        <f aca="false">IF(L146&lt;0,2,IF(L146&lt;Assumptions!$B$4,1,0))</f>
        <v>2</v>
      </c>
      <c r="S146" s="14" t="n">
        <f aca="false">IF(O146&gt;Assumptions!$B$6,2,IF(O146&gt;Assumptions!$B$5,1,0))</f>
        <v>0</v>
      </c>
      <c r="T146" s="14" t="n">
        <f aca="false">IF(Q146&gt;Assumptions!$B$8,2,IF(Q146&gt;Assumptions!$B$7,1,0))</f>
        <v>0</v>
      </c>
      <c r="U146" s="14" t="n">
        <f aca="false">R146+S146+T146</f>
        <v>2</v>
      </c>
      <c r="V146" s="15" t="str">
        <f aca="false">IF(U146&gt;=Assumptions!$B$10,"High",IF(U146&gt;=Assumptions!$B$9,"Medium","Low"))</f>
        <v>Medium</v>
      </c>
    </row>
    <row r="147" customFormat="false" ht="15" hidden="false" customHeight="false" outlineLevel="0" collapsed="false">
      <c r="A147" s="5" t="s">
        <v>342</v>
      </c>
      <c r="B147" s="5" t="s">
        <v>343</v>
      </c>
      <c r="C147" s="5" t="s">
        <v>21</v>
      </c>
      <c r="D147" s="5" t="s">
        <v>54</v>
      </c>
      <c r="E147" s="5" t="n">
        <v>14</v>
      </c>
      <c r="F147" s="5" t="n">
        <v>2</v>
      </c>
      <c r="G147" s="13" t="n">
        <v>81000</v>
      </c>
      <c r="H147" s="13" t="n">
        <v>9150</v>
      </c>
      <c r="I147" s="13" t="n">
        <v>71850</v>
      </c>
      <c r="J147" s="13" t="n">
        <v>0</v>
      </c>
      <c r="K147" s="13" t="n">
        <v>10490</v>
      </c>
      <c r="L147" s="8" t="n">
        <v>14.6</v>
      </c>
      <c r="M147" s="13" t="n">
        <v>0</v>
      </c>
      <c r="N147" s="13" t="n">
        <v>0</v>
      </c>
      <c r="O147" s="8" t="n">
        <v>23.5</v>
      </c>
      <c r="P147" s="8" t="n">
        <f aca="false">IFERROR(H147/G147*100,0)</f>
        <v>11.2962962962963</v>
      </c>
      <c r="Q147" s="8" t="n">
        <f aca="false">IFERROR(N147/I147*100,0)</f>
        <v>0</v>
      </c>
      <c r="R147" s="14" t="n">
        <f aca="false">IF(L147&lt;0,2,IF(L147&lt;Assumptions!$B$4,1,0))</f>
        <v>0</v>
      </c>
      <c r="S147" s="14" t="n">
        <f aca="false">IF(O147&gt;Assumptions!$B$6,2,IF(O147&gt;Assumptions!$B$5,1,0))</f>
        <v>1</v>
      </c>
      <c r="T147" s="14" t="n">
        <f aca="false">IF(Q147&gt;Assumptions!$B$8,2,IF(Q147&gt;Assumptions!$B$7,1,0))</f>
        <v>0</v>
      </c>
      <c r="U147" s="14" t="n">
        <f aca="false">R147+S147+T147</f>
        <v>1</v>
      </c>
      <c r="V147" s="15" t="str">
        <f aca="false">IF(U147&gt;=Assumptions!$B$10,"High",IF(U147&gt;=Assumptions!$B$9,"Medium","Low"))</f>
        <v>Low</v>
      </c>
    </row>
    <row r="148" customFormat="false" ht="15" hidden="false" customHeight="false" outlineLevel="0" collapsed="false">
      <c r="A148" s="5" t="s">
        <v>344</v>
      </c>
      <c r="B148" s="5" t="s">
        <v>345</v>
      </c>
      <c r="C148" s="5" t="s">
        <v>21</v>
      </c>
      <c r="D148" s="5" t="s">
        <v>54</v>
      </c>
      <c r="E148" s="5" t="n">
        <v>14</v>
      </c>
      <c r="F148" s="5" t="n">
        <v>2</v>
      </c>
      <c r="G148" s="13" t="n">
        <v>94800</v>
      </c>
      <c r="H148" s="13" t="n">
        <v>29420</v>
      </c>
      <c r="I148" s="13" t="n">
        <v>65380</v>
      </c>
      <c r="J148" s="13" t="n">
        <v>8210</v>
      </c>
      <c r="K148" s="13" t="n">
        <v>-8080</v>
      </c>
      <c r="L148" s="8" t="n">
        <v>-12.4</v>
      </c>
      <c r="M148" s="13" t="n">
        <v>0</v>
      </c>
      <c r="N148" s="13" t="n">
        <v>0</v>
      </c>
      <c r="O148" s="8" t="n">
        <v>6</v>
      </c>
      <c r="P148" s="8" t="n">
        <f aca="false">IFERROR(H148/G148*100,0)</f>
        <v>31.0337552742616</v>
      </c>
      <c r="Q148" s="8" t="n">
        <f aca="false">IFERROR(N148/I148*100,0)</f>
        <v>0</v>
      </c>
      <c r="R148" s="14" t="n">
        <f aca="false">IF(L148&lt;0,2,IF(L148&lt;Assumptions!$B$4,1,0))</f>
        <v>2</v>
      </c>
      <c r="S148" s="14" t="n">
        <f aca="false">IF(O148&gt;Assumptions!$B$6,2,IF(O148&gt;Assumptions!$B$5,1,0))</f>
        <v>0</v>
      </c>
      <c r="T148" s="14" t="n">
        <f aca="false">IF(Q148&gt;Assumptions!$B$8,2,IF(Q148&gt;Assumptions!$B$7,1,0))</f>
        <v>0</v>
      </c>
      <c r="U148" s="14" t="n">
        <f aca="false">R148+S148+T148</f>
        <v>2</v>
      </c>
      <c r="V148" s="15" t="str">
        <f aca="false">IF(U148&gt;=Assumptions!$B$10,"High",IF(U148&gt;=Assumptions!$B$9,"Medium","Low"))</f>
        <v>Medium</v>
      </c>
    </row>
    <row r="149" customFormat="false" ht="15" hidden="false" customHeight="false" outlineLevel="0" collapsed="false">
      <c r="A149" s="5" t="s">
        <v>346</v>
      </c>
      <c r="B149" s="5" t="s">
        <v>347</v>
      </c>
      <c r="C149" s="5" t="s">
        <v>21</v>
      </c>
      <c r="D149" s="5" t="s">
        <v>51</v>
      </c>
      <c r="E149" s="5" t="n">
        <v>14</v>
      </c>
      <c r="F149" s="5" t="n">
        <v>2</v>
      </c>
      <c r="G149" s="13" t="n">
        <v>92200</v>
      </c>
      <c r="H149" s="13" t="n">
        <v>27660</v>
      </c>
      <c r="I149" s="13" t="n">
        <v>64540</v>
      </c>
      <c r="J149" s="13" t="n">
        <v>0</v>
      </c>
      <c r="K149" s="13" t="n">
        <v>1980</v>
      </c>
      <c r="L149" s="8" t="n">
        <v>3.1</v>
      </c>
      <c r="M149" s="13" t="n">
        <v>0</v>
      </c>
      <c r="N149" s="13" t="n">
        <v>0</v>
      </c>
      <c r="O149" s="8" t="n">
        <v>102</v>
      </c>
      <c r="P149" s="8" t="n">
        <f aca="false">IFERROR(H149/G149*100,0)</f>
        <v>30</v>
      </c>
      <c r="Q149" s="8" t="n">
        <f aca="false">IFERROR(N149/I149*100,0)</f>
        <v>0</v>
      </c>
      <c r="R149" s="14" t="n">
        <f aca="false">IF(L149&lt;0,2,IF(L149&lt;Assumptions!$B$4,1,0))</f>
        <v>1</v>
      </c>
      <c r="S149" s="14" t="n">
        <f aca="false">IF(O149&gt;Assumptions!$B$6,2,IF(O149&gt;Assumptions!$B$5,1,0))</f>
        <v>2</v>
      </c>
      <c r="T149" s="14" t="n">
        <f aca="false">IF(Q149&gt;Assumptions!$B$8,2,IF(Q149&gt;Assumptions!$B$7,1,0))</f>
        <v>0</v>
      </c>
      <c r="U149" s="14" t="n">
        <f aca="false">R149+S149+T149</f>
        <v>3</v>
      </c>
      <c r="V149" s="15" t="str">
        <f aca="false">IF(U149&gt;=Assumptions!$B$10,"High",IF(U149&gt;=Assumptions!$B$9,"Medium","Low"))</f>
        <v>Medium</v>
      </c>
    </row>
    <row r="150" customFormat="false" ht="15" hidden="false" customHeight="false" outlineLevel="0" collapsed="false">
      <c r="A150" s="5" t="s">
        <v>348</v>
      </c>
      <c r="B150" s="5" t="s">
        <v>349</v>
      </c>
      <c r="C150" s="5" t="s">
        <v>21</v>
      </c>
      <c r="D150" s="5" t="s">
        <v>57</v>
      </c>
      <c r="E150" s="5" t="n">
        <v>0</v>
      </c>
      <c r="F150" s="5" t="n">
        <v>2</v>
      </c>
      <c r="G150" s="13" t="n">
        <v>90200</v>
      </c>
      <c r="H150" s="13" t="n">
        <v>29600</v>
      </c>
      <c r="I150" s="13" t="n">
        <v>60600</v>
      </c>
      <c r="J150" s="13" t="n">
        <v>0</v>
      </c>
      <c r="K150" s="13" t="n">
        <v>460</v>
      </c>
      <c r="L150" s="8" t="n">
        <v>0.8</v>
      </c>
      <c r="M150" s="13" t="n">
        <v>0</v>
      </c>
      <c r="N150" s="13" t="n">
        <v>0</v>
      </c>
      <c r="O150" s="8" t="n">
        <v>7.5</v>
      </c>
      <c r="P150" s="8" t="n">
        <f aca="false">IFERROR(H150/G150*100,0)</f>
        <v>32.8159645232816</v>
      </c>
      <c r="Q150" s="8" t="n">
        <f aca="false">IFERROR(N150/I150*100,0)</f>
        <v>0</v>
      </c>
      <c r="R150" s="14" t="n">
        <f aca="false">IF(L150&lt;0,2,IF(L150&lt;Assumptions!$B$4,1,0))</f>
        <v>1</v>
      </c>
      <c r="S150" s="14" t="n">
        <f aca="false">IF(O150&gt;Assumptions!$B$6,2,IF(O150&gt;Assumptions!$B$5,1,0))</f>
        <v>0</v>
      </c>
      <c r="T150" s="14" t="n">
        <f aca="false">IF(Q150&gt;Assumptions!$B$8,2,IF(Q150&gt;Assumptions!$B$7,1,0))</f>
        <v>0</v>
      </c>
      <c r="U150" s="14" t="n">
        <f aca="false">R150+S150+T150</f>
        <v>1</v>
      </c>
      <c r="V150" s="15" t="str">
        <f aca="false">IF(U150&gt;=Assumptions!$B$10,"High",IF(U150&gt;=Assumptions!$B$9,"Medium","Low"))</f>
        <v>Low</v>
      </c>
    </row>
    <row r="151" customFormat="false" ht="15" hidden="false" customHeight="false" outlineLevel="0" collapsed="false">
      <c r="A151" s="5" t="s">
        <v>350</v>
      </c>
      <c r="B151" s="5" t="s">
        <v>351</v>
      </c>
      <c r="C151" s="5" t="s">
        <v>21</v>
      </c>
      <c r="D151" s="5" t="s">
        <v>54</v>
      </c>
      <c r="E151" s="5" t="n">
        <v>0</v>
      </c>
      <c r="F151" s="5" t="n">
        <v>2</v>
      </c>
      <c r="G151" s="13" t="n">
        <v>64500</v>
      </c>
      <c r="H151" s="13" t="n">
        <v>4290</v>
      </c>
      <c r="I151" s="13" t="n">
        <v>60210</v>
      </c>
      <c r="J151" s="13" t="n">
        <v>0</v>
      </c>
      <c r="K151" s="13" t="n">
        <v>13140</v>
      </c>
      <c r="L151" s="8" t="n">
        <v>21.8</v>
      </c>
      <c r="M151" s="13" t="n">
        <v>0</v>
      </c>
      <c r="N151" s="13" t="n">
        <v>0</v>
      </c>
      <c r="O151" s="8" t="n">
        <v>9</v>
      </c>
      <c r="P151" s="8" t="n">
        <f aca="false">IFERROR(H151/G151*100,0)</f>
        <v>6.65116279069768</v>
      </c>
      <c r="Q151" s="8" t="n">
        <f aca="false">IFERROR(N151/I151*100,0)</f>
        <v>0</v>
      </c>
      <c r="R151" s="14" t="n">
        <f aca="false">IF(L151&lt;0,2,IF(L151&lt;Assumptions!$B$4,1,0))</f>
        <v>0</v>
      </c>
      <c r="S151" s="14" t="n">
        <f aca="false">IF(O151&gt;Assumptions!$B$6,2,IF(O151&gt;Assumptions!$B$5,1,0))</f>
        <v>0</v>
      </c>
      <c r="T151" s="14" t="n">
        <f aca="false">IF(Q151&gt;Assumptions!$B$8,2,IF(Q151&gt;Assumptions!$B$7,1,0))</f>
        <v>0</v>
      </c>
      <c r="U151" s="14" t="n">
        <f aca="false">R151+S151+T151</f>
        <v>0</v>
      </c>
      <c r="V151" s="15" t="str">
        <f aca="false">IF(U151&gt;=Assumptions!$B$10,"High",IF(U151&gt;=Assumptions!$B$9,"Medium","Low"))</f>
        <v>Low</v>
      </c>
    </row>
  </sheetData>
  <autoFilter ref="A1:V151"/>
  <conditionalFormatting sqref="V2:V151">
    <cfRule type="cellIs" priority="2" operator="equal" aboveAverage="0" equalAverage="0" bottom="0" percent="0" rank="0" text="" dxfId="7">
      <formula>"High"</formula>
    </cfRule>
    <cfRule type="cellIs" priority="3" operator="equal" aboveAverage="0" equalAverage="0" bottom="0" percent="0" rank="0" text="" dxfId="8">
      <formula>"Medium"</formula>
    </cfRule>
    <cfRule type="cellIs" priority="4" operator="equal" aboveAverage="0" equalAverage="0" bottom="0" percent="0" rank="0" text="" dxfId="9">
      <formula>"Low"</formula>
    </cfRule>
  </conditionalFormatting>
  <conditionalFormatting sqref="K2:L151">
    <cfRule type="cellIs" priority="5" operator="lessThan" aboveAverage="0" equalAverage="0" bottom="0" percent="0" rank="0" text="" dxfId="1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6" t="s">
        <v>352</v>
      </c>
    </row>
    <row r="2" customFormat="false" ht="15" hidden="false" customHeight="false" outlineLevel="0" collapsed="false">
      <c r="A2" s="17" t="s">
        <v>353</v>
      </c>
    </row>
    <row r="3" customFormat="false" ht="15" hidden="false" customHeight="false" outlineLevel="0" collapsed="false">
      <c r="A3" s="3" t="s">
        <v>354</v>
      </c>
      <c r="B3" s="3" t="s">
        <v>355</v>
      </c>
      <c r="C3" s="3" t="s">
        <v>356</v>
      </c>
    </row>
    <row r="4" customFormat="false" ht="15" hidden="false" customHeight="false" outlineLevel="0" collapsed="false">
      <c r="A4" s="18" t="s">
        <v>357</v>
      </c>
      <c r="B4" s="19" t="n">
        <v>5</v>
      </c>
      <c r="C4" s="18" t="s">
        <v>358</v>
      </c>
    </row>
    <row r="5" customFormat="false" ht="15" hidden="false" customHeight="false" outlineLevel="0" collapsed="false">
      <c r="A5" s="18" t="s">
        <v>359</v>
      </c>
      <c r="B5" s="19" t="n">
        <v>15</v>
      </c>
      <c r="C5" s="18" t="s">
        <v>360</v>
      </c>
    </row>
    <row r="6" customFormat="false" ht="15" hidden="false" customHeight="false" outlineLevel="0" collapsed="false">
      <c r="A6" s="18" t="s">
        <v>361</v>
      </c>
      <c r="B6" s="19" t="n">
        <v>30</v>
      </c>
      <c r="C6" s="18" t="s">
        <v>362</v>
      </c>
    </row>
    <row r="7" customFormat="false" ht="15" hidden="false" customHeight="false" outlineLevel="0" collapsed="false">
      <c r="A7" s="18" t="s">
        <v>363</v>
      </c>
      <c r="B7" s="19" t="n">
        <v>10</v>
      </c>
      <c r="C7" s="18" t="s">
        <v>364</v>
      </c>
    </row>
    <row r="8" customFormat="false" ht="15" hidden="false" customHeight="false" outlineLevel="0" collapsed="false">
      <c r="A8" s="18" t="s">
        <v>365</v>
      </c>
      <c r="B8" s="19" t="n">
        <v>20</v>
      </c>
      <c r="C8" s="18" t="s">
        <v>362</v>
      </c>
    </row>
    <row r="9" customFormat="false" ht="15" hidden="false" customHeight="false" outlineLevel="0" collapsed="false">
      <c r="A9" s="18" t="s">
        <v>366</v>
      </c>
      <c r="B9" s="19" t="n">
        <v>2</v>
      </c>
      <c r="C9" s="18" t="s">
        <v>367</v>
      </c>
    </row>
    <row r="10" customFormat="false" ht="15" hidden="false" customHeight="false" outlineLevel="0" collapsed="false">
      <c r="A10" s="18" t="s">
        <v>368</v>
      </c>
      <c r="B10" s="19" t="n">
        <v>4</v>
      </c>
      <c r="C10" s="18" t="s">
        <v>369</v>
      </c>
    </row>
    <row r="13" customFormat="false" ht="15" hidden="false" customHeight="false" outlineLevel="0" collapsed="false">
      <c r="A13" s="18" t="s">
        <v>370</v>
      </c>
    </row>
    <row r="14" customFormat="false" ht="15" hidden="false" customHeight="false" outlineLevel="0" collapsed="false">
      <c r="A14" s="18" t="s">
        <v>371</v>
      </c>
    </row>
    <row r="15" customFormat="false" ht="15" hidden="false" customHeight="false" outlineLevel="0" collapsed="false">
      <c r="A15" s="18" t="s">
        <v>372</v>
      </c>
    </row>
    <row r="16" customFormat="false" ht="15" hidden="false" customHeight="false" outlineLevel="0" collapsed="false">
      <c r="A16" s="18" t="s">
        <v>373</v>
      </c>
    </row>
    <row r="17" customFormat="false" ht="15" hidden="false" customHeight="false" outlineLevel="0" collapsed="false">
      <c r="A17" s="18" t="s">
        <v>374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2026-10-01T19:06:59Z</dcterms:created>
  <dc:creator>openpyxl</dc:creator>
  <dc:description/>
  <dc:language>en-US</dc:language>
  <cp:lastModifiedBy/>
  <dcterms:modified xsi:type="dcterms:W3CDTF">2026-10-01T19:07:01Z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